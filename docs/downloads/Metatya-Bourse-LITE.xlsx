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تنظیمات" sheetId="2" state="visible" r:id="rId4"/>
    <sheet name="پرتفوی" sheetId="3" state="visible" r:id="rId5"/>
    <sheet name="خلاصه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<sst xmlns="http://schemas.openxmlformats.org/spreadsheetml/2006/main" count="56" uniqueCount="55">
  <si>
    <t xml:space="preserve">Metatya | پرتفوی بورس (رایگان)</t>
  </si>
  <si>
    <t xml:space="preserve">چطور استفاده کنم؟</t>
  </si>
  <si>
    <t xml:space="preserve">۱) در برگه‌ی «تنظیمات»، کارمزد و مالیات را طبق کارگزاری و قانون روز خودت وارد کن (اعداد پیش‌فرض فقط نمونه‌اند).</t>
  </si>
  <si>
    <t xml:space="preserve">۲) در «پرتفوی» برای هر نماد: تعداد، میانگین قیمت خرید و آخرین قیمت را بنویس (قیمت را از کارگزاری یا سایت رسمی بردار).</t>
  </si>
  <si>
    <t xml:space="preserve">۳) «خلاصه» ارزش کل، سود/زیان خالص، سهم هر نماد و هشدار تمرکز را نشان می‌دهد.</t>
  </si>
  <si>
    <t xml:space="preserve">۴) هفته‌ای یک بار آخرین قیمت‌ها را به‌روز کن و ستون «وضعیت» را بخوان.</t>
  </si>
  <si>
    <t xml:space="preserve">خانه‌ی زرد با متن آبی = ورودی شما؛ متن مشکی = فرمول (دست نزنید). ردیف‌های «نمونه» را قبل از شروع پاک کنید (فقط ورودی‌ها).</t>
  </si>
  <si>
    <t xml:space="preserve">سلب مسئولیت: این فایل ابزار ثبت و آموزش است، نه توصیه‌ی خرید، فروش یا نگهداری هیچ نمادی. نمادها و اعداد داخل فایل «نمونه‌ی فرضی» هستند. قیمت‌ها لحظه‌ای نیستند و به‌صورت دستی وارد می‌شوند. بازار سهام ریسک زیان دارد.</t>
  </si>
  <si>
    <t xml:space="preserve">Metatya · t.me/maytya · youtube.com/@maytyaFx · instagram.com/maytyafx</t>
  </si>
  <si>
    <t xml:space="preserve">تنظیمات</t>
  </si>
  <si>
    <t xml:space="preserve">پارامتر</t>
  </si>
  <si>
    <t xml:space="preserve">مقدار</t>
  </si>
  <si>
    <t xml:space="preserve">توضیح</t>
  </si>
  <si>
    <t xml:space="preserve">کارمزد خرید ٪</t>
  </si>
  <si>
    <t xml:space="preserve">نمونه؛ از کارگزاری خودت بپرس</t>
  </si>
  <si>
    <t xml:space="preserve">کارمزد فروش ٪</t>
  </si>
  <si>
    <t xml:space="preserve">نمونه</t>
  </si>
  <si>
    <t xml:space="preserve">مالیات فروش ٪</t>
  </si>
  <si>
    <t xml:space="preserve">نمونه؛ طبق قانون روز</t>
  </si>
  <si>
    <t xml:space="preserve">حداکثر سهم مجاز هر نماد ٪</t>
  </si>
  <si>
    <t xml:space="preserve">قاعده‌ی شخصی تنوع‌بخشی؛ عدد انتخابی با خودت است</t>
  </si>
  <si>
    <t xml:space="preserve">آستانه‌ی بازنگری زیان ٪</t>
  </si>
  <si>
    <t xml:space="preserve">اگر زیان بیشتر شد، قاعده‌ی خروج مکتوبت را مرور کن</t>
  </si>
  <si>
    <t xml:space="preserve">وجه نقد / قدرت خرید (ریال)</t>
  </si>
  <si>
    <t xml:space="preserve">اختیاری</t>
  </si>
  <si>
    <t xml:space="preserve">پرتفوی من</t>
  </si>
  <si>
    <t xml:space="preserve">نماد</t>
  </si>
  <si>
    <t xml:space="preserve">تعداد</t>
  </si>
  <si>
    <t xml:space="preserve">میانگین قیمت خرید</t>
  </si>
  <si>
    <t xml:space="preserve">آخرین قیمت</t>
  </si>
  <si>
    <t xml:space="preserve">بهای تمام‌شده (با کارمزد)</t>
  </si>
  <si>
    <t xml:space="preserve">ارزش فعلی</t>
  </si>
  <si>
    <t xml:space="preserve">سود/زیان خالص</t>
  </si>
  <si>
    <t xml:space="preserve">سود/زیان ٪</t>
  </si>
  <si>
    <t xml:space="preserve">سهم از پرتفوی</t>
  </si>
  <si>
    <t xml:space="preserve">وضعیت</t>
  </si>
  <si>
    <t xml:space="preserve">سهم نمونه ۱</t>
  </si>
  <si>
    <t xml:space="preserve">سهم نمونه ۲</t>
  </si>
  <si>
    <t xml:space="preserve">سهم نمونه ۳</t>
  </si>
  <si>
    <t xml:space="preserve">سهم نمونه ۴</t>
  </si>
  <si>
    <t xml:space="preserve">سهم نمونه ۵</t>
  </si>
  <si>
    <t xml:space="preserve">خلاصه‌ی پرتفوی</t>
  </si>
  <si>
    <t xml:space="preserve">شاخص</t>
  </si>
  <si>
    <t xml:space="preserve">تعداد نمادها</t>
  </si>
  <si>
    <t xml:space="preserve">بهای تمام‌شده‌ی کل</t>
  </si>
  <si>
    <t xml:space="preserve">ارزش فعلی (ناخالص)</t>
  </si>
  <si>
    <t xml:space="preserve">سود/زیان خالص کل</t>
  </si>
  <si>
    <t xml:space="preserve">سود/زیان خالص ٪</t>
  </si>
  <si>
    <t xml:space="preserve">وجه نقد</t>
  </si>
  <si>
    <t xml:space="preserve">کل دارایی (سهام + نقد)</t>
  </si>
  <si>
    <t xml:space="preserve">بیشترین سهم یک نماد</t>
  </si>
  <si>
    <t xml:space="preserve">تعداد نمادهای زیان‌ده</t>
  </si>
  <si>
    <t xml:space="preserve">نسبت نمادهای سودده</t>
  </si>
  <si>
    <t xml:space="preserve">وضعیت تمرکز</t>
  </si>
  <si>
    <t xml:space="preserve">سود/زیان خالص یعنی پس از کسر کارمزد خرید و فروش و مالیات فروش طبق ورودی‌های تنظیمات؛ فقط برآورد است.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</si>
</sst>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-0.0%;\-"/>
    <numFmt numFmtId="166" formatCode="#,##0"/>
    <numFmt numFmtId="167" formatCode="#,##0;[RED]\-#,##0;\-"/>
    <numFmt numFmtId="168" formatCode="0.0%;[RED]\-0.0%;\-"/>
    <numFmt numFmtId="169" formatCode="0.0%"/>
    <numFmt numFmtId="170" formatCode="0"/>
    <numFmt numFmtId="171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6F63"/>
        <bgColor rgb="FF00808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3"/>
      <rgbColor rgb="FFBBBBBB"/>
      <rgbColor rgb="FF666666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سهم نمادها از ارزش فعلی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پرتفوی!F3</c:f>
              <c:strCache>
                <c:ptCount val="1"/>
                <c:pt idx="0">
                  <c:v>ارزش فعلی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پرتفوی!$A$4:$A$8</c:f>
              <c:strCache>
                <c:ptCount val="5"/>
                <c:pt idx="0">
                  <c:v>سهم نمونه ۱</c:v>
                </c:pt>
                <c:pt idx="1">
                  <c:v>سهم نمونه ۲</c:v>
                </c:pt>
                <c:pt idx="2">
                  <c:v>سهم نمونه ۳</c:v>
                </c:pt>
                <c:pt idx="3">
                  <c:v>سهم نمونه ۴</c:v>
                </c:pt>
                <c:pt idx="4">
                  <c:v>سهم نمونه ۵</c:v>
                </c:pt>
              </c:strCache>
            </c:strRef>
          </c:cat>
          <c:val>
            <c:numRef>
              <c:f>پرتفوی!$F$4:$F$8</c:f>
              <c:numCache>
                <c:formatCode>#,##0</c:formatCode>
                <c:ptCount val="5"/>
                <c:pt idx="0">
                  <c:v>73500000</c:v>
                </c:pt>
                <c:pt idx="1">
                  <c:v>4480000</c:v>
                </c:pt>
                <c:pt idx="2">
                  <c:v>40680000</c:v>
                </c:pt>
                <c:pt idx="3">
                  <c:v>13575000</c:v>
                </c:pt>
                <c:pt idx="4">
                  <c:v>5920000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-399240</xdr:colOff>
      <xdr:row>2</xdr:row>
      <xdr:rowOff>0</xdr:rowOff>
    </xdr:from>
    <xdr:to>
      <xdr:col>10</xdr:col>
      <xdr:colOff>0</xdr:colOff>
      <xdr:row>18</xdr:row>
      <xdr:rowOff>41400</xdr:rowOff>
    </xdr:to>
    <xdr:graphicFrame>
      <xdr:nvGraphicFramePr>
        <xdr:cNvPr id="0" name="Chart 1"/>
        <xdr:cNvGraphicFramePr/>
      </xdr:nvGraphicFramePr>
      <xdr:xfrm>
        <a:off x="-9379440" y="57168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45.75" hidden="false" customHeight="true" outlineLevel="0" collapsed="false">
      <c r="A4" s="2" t="s">
        <v>2</v>
      </c>
      <c r="B4" s="2"/>
      <c r="C4" s="2"/>
      <c r="D4" s="2"/>
      <c r="E4" s="2"/>
      <c r="F4" s="2"/>
    </row>
    <row r="5" customFormat="false" ht="45.75" hidden="false" customHeight="true" outlineLevel="0" collapsed="false">
      <c r="A5" s="2" t="s">
        <v>3</v>
      </c>
      <c r="B5" s="2"/>
      <c r="C5" s="2"/>
      <c r="D5" s="2"/>
      <c r="E5" s="2"/>
      <c r="F5" s="2"/>
    </row>
    <row r="6" customFormat="false" ht="21.75" hidden="false" customHeight="true" outlineLevel="0" collapsed="false">
      <c r="A6" s="2" t="s">
        <v>4</v>
      </c>
      <c r="B6" s="2"/>
      <c r="C6" s="2"/>
      <c r="D6" s="2"/>
      <c r="E6" s="2"/>
      <c r="F6" s="2"/>
    </row>
    <row r="7" customFormat="false" ht="21.75" hidden="false" customHeight="true" outlineLevel="0" collapsed="false">
      <c r="A7" s="2" t="s">
        <v>5</v>
      </c>
      <c r="B7" s="2"/>
      <c r="C7" s="2"/>
      <c r="D7" s="2"/>
      <c r="E7" s="2"/>
      <c r="F7" s="2"/>
    </row>
    <row r="8" customFormat="false" ht="45.75" hidden="false" customHeight="true" outlineLevel="0" collapsed="false">
      <c r="A8" s="2" t="s">
        <v>6</v>
      </c>
      <c r="B8" s="2"/>
      <c r="C8" s="2"/>
      <c r="D8" s="2"/>
      <c r="E8" s="2"/>
      <c r="F8" s="2"/>
    </row>
    <row r="9" customFormat="false" ht="45.75" hidden="false" customHeight="true" outlineLevel="0" collapsed="false">
      <c r="A9" s="2" t="s">
        <v>7</v>
      </c>
      <c r="B9" s="2"/>
      <c r="C9" s="2"/>
      <c r="D9" s="2"/>
      <c r="E9" s="2"/>
      <c r="F9" s="2"/>
    </row>
    <row r="10" customFormat="false" ht="21.75" hidden="false" customHeight="true" outlineLevel="0" collapsed="false">
      <c r="A10" s="2" t="s">
        <v>8</v>
      </c>
      <c r="B10" s="2"/>
      <c r="C10" s="2"/>
      <c r="D10" s="2"/>
      <c r="E10" s="2"/>
      <c r="F10" s="2"/>
    </row>
  </sheetData>
  <mergeCells count="9">
    <mergeCell ref="A1:F1"/>
    <mergeCell ref="A3:F3"/>
    <mergeCell ref="A4:F4"/>
    <mergeCell ref="A5:F5"/>
    <mergeCell ref="A6:F6"/>
    <mergeCell ref="A7:F7"/>
    <mergeCell ref="A8:F8"/>
    <mergeCell ref="A9:F9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8"/>
  </cols>
  <sheetData>
    <row r="1" customFormat="false" ht="30" hidden="false" customHeight="true" outlineLevel="0" collapsed="false">
      <c r="A1" s="1" t="s">
        <v>9</v>
      </c>
      <c r="B1" s="1"/>
      <c r="C1" s="1"/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12</v>
      </c>
    </row>
    <row r="4" customFormat="false" ht="15" hidden="false" customHeight="false" outlineLevel="0" collapsed="false">
      <c r="A4" s="4" t="s">
        <v>13</v>
      </c>
      <c r="B4" s="5" t="n">
        <v>0.003</v>
      </c>
      <c r="C4" s="6" t="s">
        <v>14</v>
      </c>
    </row>
    <row r="5" customFormat="false" ht="15" hidden="false" customHeight="false" outlineLevel="0" collapsed="false">
      <c r="A5" s="4" t="s">
        <v>15</v>
      </c>
      <c r="B5" s="5" t="n">
        <v>0.003</v>
      </c>
      <c r="C5" s="6" t="s">
        <v>16</v>
      </c>
    </row>
    <row r="6" customFormat="false" ht="15" hidden="false" customHeight="false" outlineLevel="0" collapsed="false">
      <c r="A6" s="4" t="s">
        <v>17</v>
      </c>
      <c r="B6" s="5" t="n">
        <v>0.005</v>
      </c>
      <c r="C6" s="6" t="s">
        <v>18</v>
      </c>
    </row>
    <row r="7" customFormat="false" ht="15" hidden="false" customHeight="false" outlineLevel="0" collapsed="false">
      <c r="A7" s="4" t="s">
        <v>19</v>
      </c>
      <c r="B7" s="5" t="n">
        <v>0.25</v>
      </c>
      <c r="C7" s="6" t="s">
        <v>20</v>
      </c>
    </row>
    <row r="8" customFormat="false" ht="15" hidden="false" customHeight="false" outlineLevel="0" collapsed="false">
      <c r="A8" s="4" t="s">
        <v>21</v>
      </c>
      <c r="B8" s="5" t="n">
        <v>-0.1</v>
      </c>
      <c r="C8" s="6" t="s">
        <v>22</v>
      </c>
    </row>
    <row r="9" customFormat="false" ht="15" hidden="false" customHeight="false" outlineLevel="0" collapsed="false">
      <c r="A9" s="4" t="s">
        <v>23</v>
      </c>
      <c r="B9" s="7" t="n">
        <v>5000000</v>
      </c>
      <c r="C9" s="6" t="s">
        <v>24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30" hidden="false" customHeight="tru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</row>
    <row r="4" customFormat="false" ht="15" hidden="false" customHeight="false" outlineLevel="0" collapsed="false">
      <c r="A4" s="8" t="s">
        <v>36</v>
      </c>
      <c r="B4" s="7" t="n">
        <v>3000</v>
      </c>
      <c r="C4" s="7" t="n">
        <v>18000</v>
      </c>
      <c r="D4" s="7" t="n">
        <v>24500</v>
      </c>
      <c r="E4" s="9" t="n">
        <f aca="false">IF(OR(B4="",C4=""),"",B4*C4*(1+تنظیمات!$B$4))</f>
        <v>54162000</v>
      </c>
      <c r="F4" s="9" t="n">
        <f aca="false">IF(OR(B4="",D4=""),"",B4*D4)</f>
        <v>73500000</v>
      </c>
      <c r="G4" s="10" t="n">
        <f aca="false">IF(OR(E4="",F4=""),"",F4*(1-تنظیمات!$B$5-تنظیمات!$B$6)-E4)</f>
        <v>18750000</v>
      </c>
      <c r="H4" s="11" t="n">
        <f aca="false">IF(OR(G4="",E4=0),"",G4/E4)</f>
        <v>0.346183671208597</v>
      </c>
      <c r="I4" s="12" t="n">
        <f aca="false">IF(OR(F4="",SUM(F$4:F$33)=0),"",F4/SUM(F$4:F$33))</f>
        <v>0.532011146900221</v>
      </c>
      <c r="J4" s="13" t="str">
        <f aca="false">IF(H4="","",IF(I4&gt;تنظیمات!$B$7,"⚠️ تمرکز بالا",IF(H4&lt;=تنظیمات!$B$8,"🔎 مرور قاعده‌ی خروج","✓")))</f>
        <v>⚠️ تمرکز بالا</v>
      </c>
    </row>
    <row r="5" customFormat="false" ht="15" hidden="false" customHeight="false" outlineLevel="0" collapsed="false">
      <c r="A5" s="8" t="s">
        <v>37</v>
      </c>
      <c r="B5" s="7" t="n">
        <v>400</v>
      </c>
      <c r="C5" s="7" t="n">
        <v>12500</v>
      </c>
      <c r="D5" s="7" t="n">
        <v>11200</v>
      </c>
      <c r="E5" s="9" t="n">
        <f aca="false">IF(OR(B5="",C5=""),"",B5*C5*(1+تنظیمات!$B$4))</f>
        <v>5015000</v>
      </c>
      <c r="F5" s="9" t="n">
        <f aca="false">IF(OR(B5="",D5=""),"",B5*D5)</f>
        <v>4480000</v>
      </c>
      <c r="G5" s="10" t="n">
        <f aca="false">IF(OR(E5="",F5=""),"",F5*(1-تنظیمات!$B$5-تنظیمات!$B$6)-E5)</f>
        <v>-570839.999999999</v>
      </c>
      <c r="H5" s="11" t="n">
        <f aca="false">IF(OR(G5="",E5=0),"",G5/E5)</f>
        <v>-0.113826520438684</v>
      </c>
      <c r="I5" s="12" t="n">
        <f aca="false">IF(OR(F5="",SUM(F$4:F$33)=0),"",F5/SUM(F$4:F$33))</f>
        <v>0.0324273460967754</v>
      </c>
      <c r="J5" s="13" t="str">
        <f aca="false">IF(H5="","",IF(I5&gt;تنظیمات!$B$7,"⚠️ تمرکز بالا",IF(H5&lt;=تنظیمات!$B$8,"🔎 مرور قاعده‌ی خروج","✓")))</f>
        <v>🔎 مرور قاعده‌ی خروج</v>
      </c>
    </row>
    <row r="6" customFormat="false" ht="15" hidden="false" customHeight="false" outlineLevel="0" collapsed="false">
      <c r="A6" s="8" t="s">
        <v>38</v>
      </c>
      <c r="B6" s="7" t="n">
        <v>1200</v>
      </c>
      <c r="C6" s="7" t="n">
        <v>30000</v>
      </c>
      <c r="D6" s="7" t="n">
        <v>33900</v>
      </c>
      <c r="E6" s="9" t="n">
        <f aca="false">IF(OR(B6="",C6=""),"",B6*C6*(1+تنظیمات!$B$4))</f>
        <v>36108000</v>
      </c>
      <c r="F6" s="9" t="n">
        <f aca="false">IF(OR(B6="",D6=""),"",B6*D6)</f>
        <v>40680000</v>
      </c>
      <c r="G6" s="10" t="n">
        <f aca="false">IF(OR(E6="",F6=""),"",F6*(1-تنظیمات!$B$5-تنظیمات!$B$6)-E6)</f>
        <v>4246560.00000001</v>
      </c>
      <c r="H6" s="11" t="n">
        <f aca="false">IF(OR(G6="",E6=0),"",G6/E6)</f>
        <v>0.117607178464606</v>
      </c>
      <c r="I6" s="12" t="n">
        <f aca="false">IF(OR(F6="",SUM(F$4:F$33)=0),"",F6/SUM(F$4:F$33))</f>
        <v>0.294451883753755</v>
      </c>
      <c r="J6" s="13" t="str">
        <f aca="false">IF(H6="","",IF(I6&gt;تنظیمات!$B$7,"⚠️ تمرکز بالا",IF(H6&lt;=تنظیمات!$B$8,"🔎 مرور قاعده‌ی خروج","✓")))</f>
        <v>⚠️ تمرکز بالا</v>
      </c>
    </row>
    <row r="7" customFormat="false" ht="15" hidden="false" customHeight="false" outlineLevel="0" collapsed="false">
      <c r="A7" s="8" t="s">
        <v>39</v>
      </c>
      <c r="B7" s="7" t="n">
        <v>150</v>
      </c>
      <c r="C7" s="7" t="n">
        <v>95000</v>
      </c>
      <c r="D7" s="7" t="n">
        <v>90500</v>
      </c>
      <c r="E7" s="9" t="n">
        <f aca="false">IF(OR(B7="",C7=""),"",B7*C7*(1+تنظیمات!$B$4))</f>
        <v>14292750</v>
      </c>
      <c r="F7" s="9" t="n">
        <f aca="false">IF(OR(B7="",D7=""),"",B7*D7)</f>
        <v>13575000</v>
      </c>
      <c r="G7" s="10" t="n">
        <f aca="false">IF(OR(E7="",F7=""),"",F7*(1-تنظیمات!$B$5-تنظیمات!$B$6)-E7)</f>
        <v>-826349.999999998</v>
      </c>
      <c r="H7" s="11" t="n">
        <f aca="false">IF(OR(G7="",E7=0),"",G7/E7)</f>
        <v>-0.0578160256073882</v>
      </c>
      <c r="I7" s="12" t="n">
        <f aca="false">IF(OR(F7="",SUM(F$4:F$33)=0),"",F7/SUM(F$4:F$33))</f>
        <v>0.0982592016213673</v>
      </c>
      <c r="J7" s="13" t="str">
        <f aca="false">IF(H7="","",IF(I7&gt;تنظیمات!$B$7,"⚠️ تمرکز بالا",IF(H7&lt;=تنظیمات!$B$8,"🔎 مرور قاعده‌ی خروج","✓")))</f>
        <v>✓</v>
      </c>
    </row>
    <row r="8" customFormat="false" ht="15" hidden="false" customHeight="false" outlineLevel="0" collapsed="false">
      <c r="A8" s="8" t="s">
        <v>40</v>
      </c>
      <c r="B8" s="7" t="n">
        <v>800</v>
      </c>
      <c r="C8" s="7" t="n">
        <v>7400</v>
      </c>
      <c r="D8" s="7" t="n">
        <v>7400</v>
      </c>
      <c r="E8" s="9" t="n">
        <f aca="false">IF(OR(B8="",C8=""),"",B8*C8*(1+تنظیمات!$B$4))</f>
        <v>5937760</v>
      </c>
      <c r="F8" s="9" t="n">
        <f aca="false">IF(OR(B8="",D8=""),"",B8*D8)</f>
        <v>5920000</v>
      </c>
      <c r="G8" s="10" t="n">
        <f aca="false">IF(OR(E8="",F8=""),"",F8*(1-تنظیمات!$B$5-تنظیمات!$B$6)-E8)</f>
        <v>-65119.9999999991</v>
      </c>
      <c r="H8" s="11" t="n">
        <f aca="false">IF(OR(G8="",E8=0),"",G8/E8)</f>
        <v>-0.0109670987038882</v>
      </c>
      <c r="I8" s="12" t="n">
        <f aca="false">IF(OR(F8="",SUM(F$4:F$33)=0),"",F8/SUM(F$4:F$33))</f>
        <v>0.0428504216278817</v>
      </c>
      <c r="J8" s="13" t="str">
        <f aca="false">IF(H8="","",IF(I8&gt;تنظیمات!$B$7,"⚠️ تمرکز بالا",IF(H8&lt;=تنظیمات!$B$8,"🔎 مرور قاعده‌ی خروج","✓")))</f>
        <v>✓</v>
      </c>
    </row>
    <row r="9" customFormat="false" ht="15" hidden="false" customHeight="false" outlineLevel="0" collapsed="false">
      <c r="A9" s="8"/>
      <c r="B9" s="7"/>
      <c r="C9" s="7"/>
      <c r="D9" s="7"/>
      <c r="E9" s="9" t="str">
        <f aca="false">IF(OR(B9="",C9=""),"",B9*C9*(1+تنظیمات!$B$4))</f>
        <v/>
      </c>
      <c r="F9" s="9" t="str">
        <f aca="false">IF(OR(B9="",D9=""),"",B9*D9)</f>
        <v/>
      </c>
      <c r="G9" s="10" t="str">
        <f aca="false">IF(OR(E9="",F9=""),"",F9*(1-تنظیمات!$B$5-تنظیمات!$B$6)-E9)</f>
        <v/>
      </c>
      <c r="H9" s="11" t="str">
        <f aca="false">IF(OR(G9="",E9=0),"",G9/E9)</f>
        <v/>
      </c>
      <c r="I9" s="12" t="str">
        <f aca="false">IF(OR(F9="",SUM(F$4:F$33)=0),"",F9/SUM(F$4:F$33))</f>
        <v/>
      </c>
      <c r="J9" s="13" t="str">
        <f aca="false">IF(H9="","",IF(I9&gt;تنظیمات!$B$7,"⚠️ تمرکز بالا",IF(H9&lt;=تنظیمات!$B$8,"🔎 مرور قاعده‌ی خروج","✓")))</f>
        <v/>
      </c>
    </row>
    <row r="10" customFormat="false" ht="15" hidden="false" customHeight="false" outlineLevel="0" collapsed="false">
      <c r="A10" s="8"/>
      <c r="B10" s="7"/>
      <c r="C10" s="7"/>
      <c r="D10" s="7"/>
      <c r="E10" s="9" t="str">
        <f aca="false">IF(OR(B10="",C10=""),"",B10*C10*(1+تنظیمات!$B$4))</f>
        <v/>
      </c>
      <c r="F10" s="9" t="str">
        <f aca="false">IF(OR(B10="",D10=""),"",B10*D10)</f>
        <v/>
      </c>
      <c r="G10" s="10" t="str">
        <f aca="false">IF(OR(E10="",F10=""),"",F10*(1-تنظیمات!$B$5-تنظیمات!$B$6)-E10)</f>
        <v/>
      </c>
      <c r="H10" s="11" t="str">
        <f aca="false">IF(OR(G10="",E10=0),"",G10/E10)</f>
        <v/>
      </c>
      <c r="I10" s="12" t="str">
        <f aca="false">IF(OR(F10="",SUM(F$4:F$33)=0),"",F10/SUM(F$4:F$33))</f>
        <v/>
      </c>
      <c r="J10" s="13" t="str">
        <f aca="false">IF(H10="","",IF(I10&gt;تنظیمات!$B$7,"⚠️ تمرکز بالا",IF(H10&lt;=تنظیمات!$B$8,"🔎 مرور قاعده‌ی خروج","✓")))</f>
        <v/>
      </c>
    </row>
    <row r="11" customFormat="false" ht="15" hidden="false" customHeight="false" outlineLevel="0" collapsed="false">
      <c r="A11" s="8"/>
      <c r="B11" s="7"/>
      <c r="C11" s="7"/>
      <c r="D11" s="7"/>
      <c r="E11" s="9" t="str">
        <f aca="false">IF(OR(B11="",C11=""),"",B11*C11*(1+تنظیمات!$B$4))</f>
        <v/>
      </c>
      <c r="F11" s="9" t="str">
        <f aca="false">IF(OR(B11="",D11=""),"",B11*D11)</f>
        <v/>
      </c>
      <c r="G11" s="10" t="str">
        <f aca="false">IF(OR(E11="",F11=""),"",F11*(1-تنظیمات!$B$5-تنظیمات!$B$6)-E11)</f>
        <v/>
      </c>
      <c r="H11" s="11" t="str">
        <f aca="false">IF(OR(G11="",E11=0),"",G11/E11)</f>
        <v/>
      </c>
      <c r="I11" s="12" t="str">
        <f aca="false">IF(OR(F11="",SUM(F$4:F$33)=0),"",F11/SUM(F$4:F$33))</f>
        <v/>
      </c>
      <c r="J11" s="13" t="str">
        <f aca="false">IF(H11="","",IF(I11&gt;تنظیمات!$B$7,"⚠️ تمرکز بالا",IF(H11&lt;=تنظیمات!$B$8,"🔎 مرور قاعده‌ی خروج","✓")))</f>
        <v/>
      </c>
    </row>
    <row r="12" customFormat="false" ht="15" hidden="false" customHeight="false" outlineLevel="0" collapsed="false">
      <c r="A12" s="8"/>
      <c r="B12" s="7"/>
      <c r="C12" s="7"/>
      <c r="D12" s="7"/>
      <c r="E12" s="9" t="str">
        <f aca="false">IF(OR(B12="",C12=""),"",B12*C12*(1+تنظیمات!$B$4))</f>
        <v/>
      </c>
      <c r="F12" s="9" t="str">
        <f aca="false">IF(OR(B12="",D12=""),"",B12*D12)</f>
        <v/>
      </c>
      <c r="G12" s="10" t="str">
        <f aca="false">IF(OR(E12="",F12=""),"",F12*(1-تنظیمات!$B$5-تنظیمات!$B$6)-E12)</f>
        <v/>
      </c>
      <c r="H12" s="11" t="str">
        <f aca="false">IF(OR(G12="",E12=0),"",G12/E12)</f>
        <v/>
      </c>
      <c r="I12" s="12" t="str">
        <f aca="false">IF(OR(F12="",SUM(F$4:F$33)=0),"",F12/SUM(F$4:F$33))</f>
        <v/>
      </c>
      <c r="J12" s="13" t="str">
        <f aca="false">IF(H12="","",IF(I12&gt;تنظیمات!$B$7,"⚠️ تمرکز بالا",IF(H12&lt;=تنظیمات!$B$8,"🔎 مرور قاعده‌ی خروج","✓")))</f>
        <v/>
      </c>
    </row>
    <row r="13" customFormat="false" ht="15" hidden="false" customHeight="false" outlineLevel="0" collapsed="false">
      <c r="A13" s="8"/>
      <c r="B13" s="7"/>
      <c r="C13" s="7"/>
      <c r="D13" s="7"/>
      <c r="E13" s="9" t="str">
        <f aca="false">IF(OR(B13="",C13=""),"",B13*C13*(1+تنظیمات!$B$4))</f>
        <v/>
      </c>
      <c r="F13" s="9" t="str">
        <f aca="false">IF(OR(B13="",D13=""),"",B13*D13)</f>
        <v/>
      </c>
      <c r="G13" s="10" t="str">
        <f aca="false">IF(OR(E13="",F13=""),"",F13*(1-تنظیمات!$B$5-تنظیمات!$B$6)-E13)</f>
        <v/>
      </c>
      <c r="H13" s="11" t="str">
        <f aca="false">IF(OR(G13="",E13=0),"",G13/E13)</f>
        <v/>
      </c>
      <c r="I13" s="12" t="str">
        <f aca="false">IF(OR(F13="",SUM(F$4:F$33)=0),"",F13/SUM(F$4:F$33))</f>
        <v/>
      </c>
      <c r="J13" s="13" t="str">
        <f aca="false">IF(H13="","",IF(I13&gt;تنظیمات!$B$7,"⚠️ تمرکز بالا",IF(H13&lt;=تنظیمات!$B$8,"🔎 مرور قاعده‌ی خروج","✓")))</f>
        <v/>
      </c>
    </row>
    <row r="14" customFormat="false" ht="15" hidden="false" customHeight="false" outlineLevel="0" collapsed="false">
      <c r="A14" s="8"/>
      <c r="B14" s="7"/>
      <c r="C14" s="7"/>
      <c r="D14" s="7"/>
      <c r="E14" s="9" t="str">
        <f aca="false">IF(OR(B14="",C14=""),"",B14*C14*(1+تنظیمات!$B$4))</f>
        <v/>
      </c>
      <c r="F14" s="9" t="str">
        <f aca="false">IF(OR(B14="",D14=""),"",B14*D14)</f>
        <v/>
      </c>
      <c r="G14" s="10" t="str">
        <f aca="false">IF(OR(E14="",F14=""),"",F14*(1-تنظیمات!$B$5-تنظیمات!$B$6)-E14)</f>
        <v/>
      </c>
      <c r="H14" s="11" t="str">
        <f aca="false">IF(OR(G14="",E14=0),"",G14/E14)</f>
        <v/>
      </c>
      <c r="I14" s="12" t="str">
        <f aca="false">IF(OR(F14="",SUM(F$4:F$33)=0),"",F14/SUM(F$4:F$33))</f>
        <v/>
      </c>
      <c r="J14" s="13" t="str">
        <f aca="false">IF(H14="","",IF(I14&gt;تنظیمات!$B$7,"⚠️ تمرکز بالا",IF(H14&lt;=تنظیمات!$B$8,"🔎 مرور قاعده‌ی خروج","✓")))</f>
        <v/>
      </c>
    </row>
    <row r="15" customFormat="false" ht="15" hidden="false" customHeight="false" outlineLevel="0" collapsed="false">
      <c r="A15" s="8"/>
      <c r="B15" s="7"/>
      <c r="C15" s="7"/>
      <c r="D15" s="7"/>
      <c r="E15" s="9" t="str">
        <f aca="false">IF(OR(B15="",C15=""),"",B15*C15*(1+تنظیمات!$B$4))</f>
        <v/>
      </c>
      <c r="F15" s="9" t="str">
        <f aca="false">IF(OR(B15="",D15=""),"",B15*D15)</f>
        <v/>
      </c>
      <c r="G15" s="10" t="str">
        <f aca="false">IF(OR(E15="",F15=""),"",F15*(1-تنظیمات!$B$5-تنظیمات!$B$6)-E15)</f>
        <v/>
      </c>
      <c r="H15" s="11" t="str">
        <f aca="false">IF(OR(G15="",E15=0),"",G15/E15)</f>
        <v/>
      </c>
      <c r="I15" s="12" t="str">
        <f aca="false">IF(OR(F15="",SUM(F$4:F$33)=0),"",F15/SUM(F$4:F$33))</f>
        <v/>
      </c>
      <c r="J15" s="13" t="str">
        <f aca="false">IF(H15="","",IF(I15&gt;تنظیمات!$B$7,"⚠️ تمرکز بالا",IF(H15&lt;=تنظیمات!$B$8,"🔎 مرور قاعده‌ی خروج","✓")))</f>
        <v/>
      </c>
    </row>
    <row r="16" customFormat="false" ht="15" hidden="false" customHeight="false" outlineLevel="0" collapsed="false">
      <c r="A16" s="8"/>
      <c r="B16" s="7"/>
      <c r="C16" s="7"/>
      <c r="D16" s="7"/>
      <c r="E16" s="9" t="str">
        <f aca="false">IF(OR(B16="",C16=""),"",B16*C16*(1+تنظیمات!$B$4))</f>
        <v/>
      </c>
      <c r="F16" s="9" t="str">
        <f aca="false">IF(OR(B16="",D16=""),"",B16*D16)</f>
        <v/>
      </c>
      <c r="G16" s="10" t="str">
        <f aca="false">IF(OR(E16="",F16=""),"",F16*(1-تنظیمات!$B$5-تنظیمات!$B$6)-E16)</f>
        <v/>
      </c>
      <c r="H16" s="11" t="str">
        <f aca="false">IF(OR(G16="",E16=0),"",G16/E16)</f>
        <v/>
      </c>
      <c r="I16" s="12" t="str">
        <f aca="false">IF(OR(F16="",SUM(F$4:F$33)=0),"",F16/SUM(F$4:F$33))</f>
        <v/>
      </c>
      <c r="J16" s="13" t="str">
        <f aca="false">IF(H16="","",IF(I16&gt;تنظیمات!$B$7,"⚠️ تمرکز بالا",IF(H16&lt;=تنظیمات!$B$8,"🔎 مرور قاعده‌ی خروج","✓")))</f>
        <v/>
      </c>
    </row>
    <row r="17" customFormat="false" ht="15" hidden="false" customHeight="false" outlineLevel="0" collapsed="false">
      <c r="A17" s="8"/>
      <c r="B17" s="7"/>
      <c r="C17" s="7"/>
      <c r="D17" s="7"/>
      <c r="E17" s="9" t="str">
        <f aca="false">IF(OR(B17="",C17=""),"",B17*C17*(1+تنظیمات!$B$4))</f>
        <v/>
      </c>
      <c r="F17" s="9" t="str">
        <f aca="false">IF(OR(B17="",D17=""),"",B17*D17)</f>
        <v/>
      </c>
      <c r="G17" s="10" t="str">
        <f aca="false">IF(OR(E17="",F17=""),"",F17*(1-تنظیمات!$B$5-تنظیمات!$B$6)-E17)</f>
        <v/>
      </c>
      <c r="H17" s="11" t="str">
        <f aca="false">IF(OR(G17="",E17=0),"",G17/E17)</f>
        <v/>
      </c>
      <c r="I17" s="12" t="str">
        <f aca="false">IF(OR(F17="",SUM(F$4:F$33)=0),"",F17/SUM(F$4:F$33))</f>
        <v/>
      </c>
      <c r="J17" s="13" t="str">
        <f aca="false">IF(H17="","",IF(I17&gt;تنظیمات!$B$7,"⚠️ تمرکز بالا",IF(H17&lt;=تنظیمات!$B$8,"🔎 مرور قاعده‌ی خروج","✓")))</f>
        <v/>
      </c>
    </row>
    <row r="18" customFormat="false" ht="15" hidden="false" customHeight="false" outlineLevel="0" collapsed="false">
      <c r="A18" s="8"/>
      <c r="B18" s="7"/>
      <c r="C18" s="7"/>
      <c r="D18" s="7"/>
      <c r="E18" s="9" t="str">
        <f aca="false">IF(OR(B18="",C18=""),"",B18*C18*(1+تنظیمات!$B$4))</f>
        <v/>
      </c>
      <c r="F18" s="9" t="str">
        <f aca="false">IF(OR(B18="",D18=""),"",B18*D18)</f>
        <v/>
      </c>
      <c r="G18" s="10" t="str">
        <f aca="false">IF(OR(E18="",F18=""),"",F18*(1-تنظیمات!$B$5-تنظیمات!$B$6)-E18)</f>
        <v/>
      </c>
      <c r="H18" s="11" t="str">
        <f aca="false">IF(OR(G18="",E18=0),"",G18/E18)</f>
        <v/>
      </c>
      <c r="I18" s="12" t="str">
        <f aca="false">IF(OR(F18="",SUM(F$4:F$33)=0),"",F18/SUM(F$4:F$33))</f>
        <v/>
      </c>
      <c r="J18" s="13" t="str">
        <f aca="false">IF(H18="","",IF(I18&gt;تنظیمات!$B$7,"⚠️ تمرکز بالا",IF(H18&lt;=تنظیمات!$B$8,"🔎 مرور قاعده‌ی خروج","✓")))</f>
        <v/>
      </c>
    </row>
    <row r="19" customFormat="false" ht="15" hidden="false" customHeight="false" outlineLevel="0" collapsed="false">
      <c r="A19" s="8"/>
      <c r="B19" s="7"/>
      <c r="C19" s="7"/>
      <c r="D19" s="7"/>
      <c r="E19" s="9" t="str">
        <f aca="false">IF(OR(B19="",C19=""),"",B19*C19*(1+تنظیمات!$B$4))</f>
        <v/>
      </c>
      <c r="F19" s="9" t="str">
        <f aca="false">IF(OR(B19="",D19=""),"",B19*D19)</f>
        <v/>
      </c>
      <c r="G19" s="10" t="str">
        <f aca="false">IF(OR(E19="",F19=""),"",F19*(1-تنظیمات!$B$5-تنظیمات!$B$6)-E19)</f>
        <v/>
      </c>
      <c r="H19" s="11" t="str">
        <f aca="false">IF(OR(G19="",E19=0),"",G19/E19)</f>
        <v/>
      </c>
      <c r="I19" s="12" t="str">
        <f aca="false">IF(OR(F19="",SUM(F$4:F$33)=0),"",F19/SUM(F$4:F$33))</f>
        <v/>
      </c>
      <c r="J19" s="13" t="str">
        <f aca="false">IF(H19="","",IF(I19&gt;تنظیمات!$B$7,"⚠️ تمرکز بالا",IF(H19&lt;=تنظیمات!$B$8,"🔎 مرور قاعده‌ی خروج","✓")))</f>
        <v/>
      </c>
    </row>
    <row r="20" customFormat="false" ht="15" hidden="false" customHeight="false" outlineLevel="0" collapsed="false">
      <c r="A20" s="8"/>
      <c r="B20" s="7"/>
      <c r="C20" s="7"/>
      <c r="D20" s="7"/>
      <c r="E20" s="9" t="str">
        <f aca="false">IF(OR(B20="",C20=""),"",B20*C20*(1+تنظیمات!$B$4))</f>
        <v/>
      </c>
      <c r="F20" s="9" t="str">
        <f aca="false">IF(OR(B20="",D20=""),"",B20*D20)</f>
        <v/>
      </c>
      <c r="G20" s="10" t="str">
        <f aca="false">IF(OR(E20="",F20=""),"",F20*(1-تنظیمات!$B$5-تنظیمات!$B$6)-E20)</f>
        <v/>
      </c>
      <c r="H20" s="11" t="str">
        <f aca="false">IF(OR(G20="",E20=0),"",G20/E20)</f>
        <v/>
      </c>
      <c r="I20" s="12" t="str">
        <f aca="false">IF(OR(F20="",SUM(F$4:F$33)=0),"",F20/SUM(F$4:F$33))</f>
        <v/>
      </c>
      <c r="J20" s="13" t="str">
        <f aca="false">IF(H20="","",IF(I20&gt;تنظیمات!$B$7,"⚠️ تمرکز بالا",IF(H20&lt;=تنظیمات!$B$8,"🔎 مرور قاعده‌ی خروج","✓")))</f>
        <v/>
      </c>
    </row>
    <row r="21" customFormat="false" ht="15" hidden="false" customHeight="false" outlineLevel="0" collapsed="false">
      <c r="A21" s="8"/>
      <c r="B21" s="7"/>
      <c r="C21" s="7"/>
      <c r="D21" s="7"/>
      <c r="E21" s="9" t="str">
        <f aca="false">IF(OR(B21="",C21=""),"",B21*C21*(1+تنظیمات!$B$4))</f>
        <v/>
      </c>
      <c r="F21" s="9" t="str">
        <f aca="false">IF(OR(B21="",D21=""),"",B21*D21)</f>
        <v/>
      </c>
      <c r="G21" s="10" t="str">
        <f aca="false">IF(OR(E21="",F21=""),"",F21*(1-تنظیمات!$B$5-تنظیمات!$B$6)-E21)</f>
        <v/>
      </c>
      <c r="H21" s="11" t="str">
        <f aca="false">IF(OR(G21="",E21=0),"",G21/E21)</f>
        <v/>
      </c>
      <c r="I21" s="12" t="str">
        <f aca="false">IF(OR(F21="",SUM(F$4:F$33)=0),"",F21/SUM(F$4:F$33))</f>
        <v/>
      </c>
      <c r="J21" s="13" t="str">
        <f aca="false">IF(H21="","",IF(I21&gt;تنظیمات!$B$7,"⚠️ تمرکز بالا",IF(H21&lt;=تنظیمات!$B$8,"🔎 مرور قاعده‌ی خروج","✓")))</f>
        <v/>
      </c>
    </row>
    <row r="22" customFormat="false" ht="15" hidden="false" customHeight="false" outlineLevel="0" collapsed="false">
      <c r="A22" s="8"/>
      <c r="B22" s="7"/>
      <c r="C22" s="7"/>
      <c r="D22" s="7"/>
      <c r="E22" s="9" t="str">
        <f aca="false">IF(OR(B22="",C22=""),"",B22*C22*(1+تنظیمات!$B$4))</f>
        <v/>
      </c>
      <c r="F22" s="9" t="str">
        <f aca="false">IF(OR(B22="",D22=""),"",B22*D22)</f>
        <v/>
      </c>
      <c r="G22" s="10" t="str">
        <f aca="false">IF(OR(E22="",F22=""),"",F22*(1-تنظیمات!$B$5-تنظیمات!$B$6)-E22)</f>
        <v/>
      </c>
      <c r="H22" s="11" t="str">
        <f aca="false">IF(OR(G22="",E22=0),"",G22/E22)</f>
        <v/>
      </c>
      <c r="I22" s="12" t="str">
        <f aca="false">IF(OR(F22="",SUM(F$4:F$33)=0),"",F22/SUM(F$4:F$33))</f>
        <v/>
      </c>
      <c r="J22" s="13" t="str">
        <f aca="false">IF(H22="","",IF(I22&gt;تنظیمات!$B$7,"⚠️ تمرکز بالا",IF(H22&lt;=تنظیمات!$B$8,"🔎 مرور قاعده‌ی خروج","✓")))</f>
        <v/>
      </c>
    </row>
    <row r="23" customFormat="false" ht="15" hidden="false" customHeight="false" outlineLevel="0" collapsed="false">
      <c r="A23" s="8"/>
      <c r="B23" s="7"/>
      <c r="C23" s="7"/>
      <c r="D23" s="7"/>
      <c r="E23" s="9" t="str">
        <f aca="false">IF(OR(B23="",C23=""),"",B23*C23*(1+تنظیمات!$B$4))</f>
        <v/>
      </c>
      <c r="F23" s="9" t="str">
        <f aca="false">IF(OR(B23="",D23=""),"",B23*D23)</f>
        <v/>
      </c>
      <c r="G23" s="10" t="str">
        <f aca="false">IF(OR(E23="",F23=""),"",F23*(1-تنظیمات!$B$5-تنظیمات!$B$6)-E23)</f>
        <v/>
      </c>
      <c r="H23" s="11" t="str">
        <f aca="false">IF(OR(G23="",E23=0),"",G23/E23)</f>
        <v/>
      </c>
      <c r="I23" s="12" t="str">
        <f aca="false">IF(OR(F23="",SUM(F$4:F$33)=0),"",F23/SUM(F$4:F$33))</f>
        <v/>
      </c>
      <c r="J23" s="13" t="str">
        <f aca="false">IF(H23="","",IF(I23&gt;تنظیمات!$B$7,"⚠️ تمرکز بالا",IF(H23&lt;=تنظیمات!$B$8,"🔎 مرور قاعده‌ی خروج","✓")))</f>
        <v/>
      </c>
    </row>
    <row r="24" customFormat="false" ht="15" hidden="false" customHeight="false" outlineLevel="0" collapsed="false">
      <c r="A24" s="8"/>
      <c r="B24" s="7"/>
      <c r="C24" s="7"/>
      <c r="D24" s="7"/>
      <c r="E24" s="9" t="str">
        <f aca="false">IF(OR(B24="",C24=""),"",B24*C24*(1+تنظیمات!$B$4))</f>
        <v/>
      </c>
      <c r="F24" s="9" t="str">
        <f aca="false">IF(OR(B24="",D24=""),"",B24*D24)</f>
        <v/>
      </c>
      <c r="G24" s="10" t="str">
        <f aca="false">IF(OR(E24="",F24=""),"",F24*(1-تنظیمات!$B$5-تنظیمات!$B$6)-E24)</f>
        <v/>
      </c>
      <c r="H24" s="11" t="str">
        <f aca="false">IF(OR(G24="",E24=0),"",G24/E24)</f>
        <v/>
      </c>
      <c r="I24" s="12" t="str">
        <f aca="false">IF(OR(F24="",SUM(F$4:F$33)=0),"",F24/SUM(F$4:F$33))</f>
        <v/>
      </c>
      <c r="J24" s="13" t="str">
        <f aca="false">IF(H24="","",IF(I24&gt;تنظیمات!$B$7,"⚠️ تمرکز بالا",IF(H24&lt;=تنظیمات!$B$8,"🔎 مرور قاعده‌ی خروج","✓")))</f>
        <v/>
      </c>
    </row>
    <row r="25" customFormat="false" ht="15" hidden="false" customHeight="false" outlineLevel="0" collapsed="false">
      <c r="A25" s="8"/>
      <c r="B25" s="7"/>
      <c r="C25" s="7"/>
      <c r="D25" s="7"/>
      <c r="E25" s="9" t="str">
        <f aca="false">IF(OR(B25="",C25=""),"",B25*C25*(1+تنظیمات!$B$4))</f>
        <v/>
      </c>
      <c r="F25" s="9" t="str">
        <f aca="false">IF(OR(B25="",D25=""),"",B25*D25)</f>
        <v/>
      </c>
      <c r="G25" s="10" t="str">
        <f aca="false">IF(OR(E25="",F25=""),"",F25*(1-تنظیمات!$B$5-تنظیمات!$B$6)-E25)</f>
        <v/>
      </c>
      <c r="H25" s="11" t="str">
        <f aca="false">IF(OR(G25="",E25=0),"",G25/E25)</f>
        <v/>
      </c>
      <c r="I25" s="12" t="str">
        <f aca="false">IF(OR(F25="",SUM(F$4:F$33)=0),"",F25/SUM(F$4:F$33))</f>
        <v/>
      </c>
      <c r="J25" s="13" t="str">
        <f aca="false">IF(H25="","",IF(I25&gt;تنظیمات!$B$7,"⚠️ تمرکز بالا",IF(H25&lt;=تنظیمات!$B$8,"🔎 مرور قاعده‌ی خروج","✓")))</f>
        <v/>
      </c>
    </row>
    <row r="26" customFormat="false" ht="15" hidden="false" customHeight="false" outlineLevel="0" collapsed="false">
      <c r="A26" s="8"/>
      <c r="B26" s="7"/>
      <c r="C26" s="7"/>
      <c r="D26" s="7"/>
      <c r="E26" s="9" t="str">
        <f aca="false">IF(OR(B26="",C26=""),"",B26*C26*(1+تنظیمات!$B$4))</f>
        <v/>
      </c>
      <c r="F26" s="9" t="str">
        <f aca="false">IF(OR(B26="",D26=""),"",B26*D26)</f>
        <v/>
      </c>
      <c r="G26" s="10" t="str">
        <f aca="false">IF(OR(E26="",F26=""),"",F26*(1-تنظیمات!$B$5-تنظیمات!$B$6)-E26)</f>
        <v/>
      </c>
      <c r="H26" s="11" t="str">
        <f aca="false">IF(OR(G26="",E26=0),"",G26/E26)</f>
        <v/>
      </c>
      <c r="I26" s="12" t="str">
        <f aca="false">IF(OR(F26="",SUM(F$4:F$33)=0),"",F26/SUM(F$4:F$33))</f>
        <v/>
      </c>
      <c r="J26" s="13" t="str">
        <f aca="false">IF(H26="","",IF(I26&gt;تنظیمات!$B$7,"⚠️ تمرکز بالا",IF(H26&lt;=تنظیمات!$B$8,"🔎 مرور قاعده‌ی خروج","✓")))</f>
        <v/>
      </c>
    </row>
    <row r="27" customFormat="false" ht="15" hidden="false" customHeight="false" outlineLevel="0" collapsed="false">
      <c r="A27" s="8"/>
      <c r="B27" s="7"/>
      <c r="C27" s="7"/>
      <c r="D27" s="7"/>
      <c r="E27" s="9" t="str">
        <f aca="false">IF(OR(B27="",C27=""),"",B27*C27*(1+تنظیمات!$B$4))</f>
        <v/>
      </c>
      <c r="F27" s="9" t="str">
        <f aca="false">IF(OR(B27="",D27=""),"",B27*D27)</f>
        <v/>
      </c>
      <c r="G27" s="10" t="str">
        <f aca="false">IF(OR(E27="",F27=""),"",F27*(1-تنظیمات!$B$5-تنظیمات!$B$6)-E27)</f>
        <v/>
      </c>
      <c r="H27" s="11" t="str">
        <f aca="false">IF(OR(G27="",E27=0),"",G27/E27)</f>
        <v/>
      </c>
      <c r="I27" s="12" t="str">
        <f aca="false">IF(OR(F27="",SUM(F$4:F$33)=0),"",F27/SUM(F$4:F$33))</f>
        <v/>
      </c>
      <c r="J27" s="13" t="str">
        <f aca="false">IF(H27="","",IF(I27&gt;تنظیمات!$B$7,"⚠️ تمرکز بالا",IF(H27&lt;=تنظیمات!$B$8,"🔎 مرور قاعده‌ی خروج","✓")))</f>
        <v/>
      </c>
    </row>
    <row r="28" customFormat="false" ht="15" hidden="false" customHeight="false" outlineLevel="0" collapsed="false">
      <c r="A28" s="8"/>
      <c r="B28" s="7"/>
      <c r="C28" s="7"/>
      <c r="D28" s="7"/>
      <c r="E28" s="9" t="str">
        <f aca="false">IF(OR(B28="",C28=""),"",B28*C28*(1+تنظیمات!$B$4))</f>
        <v/>
      </c>
      <c r="F28" s="9" t="str">
        <f aca="false">IF(OR(B28="",D28=""),"",B28*D28)</f>
        <v/>
      </c>
      <c r="G28" s="10" t="str">
        <f aca="false">IF(OR(E28="",F28=""),"",F28*(1-تنظیمات!$B$5-تنظیمات!$B$6)-E28)</f>
        <v/>
      </c>
      <c r="H28" s="11" t="str">
        <f aca="false">IF(OR(G28="",E28=0),"",G28/E28)</f>
        <v/>
      </c>
      <c r="I28" s="12" t="str">
        <f aca="false">IF(OR(F28="",SUM(F$4:F$33)=0),"",F28/SUM(F$4:F$33))</f>
        <v/>
      </c>
      <c r="J28" s="13" t="str">
        <f aca="false">IF(H28="","",IF(I28&gt;تنظیمات!$B$7,"⚠️ تمرکز بالا",IF(H28&lt;=تنظیمات!$B$8,"🔎 مرور قاعده‌ی خروج","✓")))</f>
        <v/>
      </c>
    </row>
    <row r="29" customFormat="false" ht="15" hidden="false" customHeight="false" outlineLevel="0" collapsed="false">
      <c r="A29" s="8"/>
      <c r="B29" s="7"/>
      <c r="C29" s="7"/>
      <c r="D29" s="7"/>
      <c r="E29" s="9" t="str">
        <f aca="false">IF(OR(B29="",C29=""),"",B29*C29*(1+تنظیمات!$B$4))</f>
        <v/>
      </c>
      <c r="F29" s="9" t="str">
        <f aca="false">IF(OR(B29="",D29=""),"",B29*D29)</f>
        <v/>
      </c>
      <c r="G29" s="10" t="str">
        <f aca="false">IF(OR(E29="",F29=""),"",F29*(1-تنظیمات!$B$5-تنظیمات!$B$6)-E29)</f>
        <v/>
      </c>
      <c r="H29" s="11" t="str">
        <f aca="false">IF(OR(G29="",E29=0),"",G29/E29)</f>
        <v/>
      </c>
      <c r="I29" s="12" t="str">
        <f aca="false">IF(OR(F29="",SUM(F$4:F$33)=0),"",F29/SUM(F$4:F$33))</f>
        <v/>
      </c>
      <c r="J29" s="13" t="str">
        <f aca="false">IF(H29="","",IF(I29&gt;تنظیمات!$B$7,"⚠️ تمرکز بالا",IF(H29&lt;=تنظیمات!$B$8,"🔎 مرور قاعده‌ی خروج","✓")))</f>
        <v/>
      </c>
    </row>
    <row r="30" customFormat="false" ht="15" hidden="false" customHeight="false" outlineLevel="0" collapsed="false">
      <c r="A30" s="8"/>
      <c r="B30" s="7"/>
      <c r="C30" s="7"/>
      <c r="D30" s="7"/>
      <c r="E30" s="9" t="str">
        <f aca="false">IF(OR(B30="",C30=""),"",B30*C30*(1+تنظیمات!$B$4))</f>
        <v/>
      </c>
      <c r="F30" s="9" t="str">
        <f aca="false">IF(OR(B30="",D30=""),"",B30*D30)</f>
        <v/>
      </c>
      <c r="G30" s="10" t="str">
        <f aca="false">IF(OR(E30="",F30=""),"",F30*(1-تنظیمات!$B$5-تنظیمات!$B$6)-E30)</f>
        <v/>
      </c>
      <c r="H30" s="11" t="str">
        <f aca="false">IF(OR(G30="",E30=0),"",G30/E30)</f>
        <v/>
      </c>
      <c r="I30" s="12" t="str">
        <f aca="false">IF(OR(F30="",SUM(F$4:F$33)=0),"",F30/SUM(F$4:F$33))</f>
        <v/>
      </c>
      <c r="J30" s="13" t="str">
        <f aca="false">IF(H30="","",IF(I30&gt;تنظیمات!$B$7,"⚠️ تمرکز بالا",IF(H30&lt;=تنظیمات!$B$8,"🔎 مرور قاعده‌ی خروج","✓")))</f>
        <v/>
      </c>
    </row>
    <row r="31" customFormat="false" ht="15" hidden="false" customHeight="false" outlineLevel="0" collapsed="false">
      <c r="A31" s="8"/>
      <c r="B31" s="7"/>
      <c r="C31" s="7"/>
      <c r="D31" s="7"/>
      <c r="E31" s="9" t="str">
        <f aca="false">IF(OR(B31="",C31=""),"",B31*C31*(1+تنظیمات!$B$4))</f>
        <v/>
      </c>
      <c r="F31" s="9" t="str">
        <f aca="false">IF(OR(B31="",D31=""),"",B31*D31)</f>
        <v/>
      </c>
      <c r="G31" s="10" t="str">
        <f aca="false">IF(OR(E31="",F31=""),"",F31*(1-تنظیمات!$B$5-تنظیمات!$B$6)-E31)</f>
        <v/>
      </c>
      <c r="H31" s="11" t="str">
        <f aca="false">IF(OR(G31="",E31=0),"",G31/E31)</f>
        <v/>
      </c>
      <c r="I31" s="12" t="str">
        <f aca="false">IF(OR(F31="",SUM(F$4:F$33)=0),"",F31/SUM(F$4:F$33))</f>
        <v/>
      </c>
      <c r="J31" s="13" t="str">
        <f aca="false">IF(H31="","",IF(I31&gt;تنظیمات!$B$7,"⚠️ تمرکز بالا",IF(H31&lt;=تنظیمات!$B$8,"🔎 مرور قاعده‌ی خروج","✓")))</f>
        <v/>
      </c>
    </row>
    <row r="32" customFormat="false" ht="15" hidden="false" customHeight="false" outlineLevel="0" collapsed="false">
      <c r="A32" s="8"/>
      <c r="B32" s="7"/>
      <c r="C32" s="7"/>
      <c r="D32" s="7"/>
      <c r="E32" s="9" t="str">
        <f aca="false">IF(OR(B32="",C32=""),"",B32*C32*(1+تنظیمات!$B$4))</f>
        <v/>
      </c>
      <c r="F32" s="9" t="str">
        <f aca="false">IF(OR(B32="",D32=""),"",B32*D32)</f>
        <v/>
      </c>
      <c r="G32" s="10" t="str">
        <f aca="false">IF(OR(E32="",F32=""),"",F32*(1-تنظیمات!$B$5-تنظیمات!$B$6)-E32)</f>
        <v/>
      </c>
      <c r="H32" s="11" t="str">
        <f aca="false">IF(OR(G32="",E32=0),"",G32/E32)</f>
        <v/>
      </c>
      <c r="I32" s="12" t="str">
        <f aca="false">IF(OR(F32="",SUM(F$4:F$33)=0),"",F32/SUM(F$4:F$33))</f>
        <v/>
      </c>
      <c r="J32" s="13" t="str">
        <f aca="false">IF(H32="","",IF(I32&gt;تنظیمات!$B$7,"⚠️ تمرکز بالا",IF(H32&lt;=تنظیمات!$B$8,"🔎 مرور قاعده‌ی خروج","✓")))</f>
        <v/>
      </c>
    </row>
    <row r="33" customFormat="false" ht="15" hidden="false" customHeight="false" outlineLevel="0" collapsed="false">
      <c r="A33" s="8"/>
      <c r="B33" s="7"/>
      <c r="C33" s="7"/>
      <c r="D33" s="7"/>
      <c r="E33" s="9" t="str">
        <f aca="false">IF(OR(B33="",C33=""),"",B33*C33*(1+تنظیمات!$B$4))</f>
        <v/>
      </c>
      <c r="F33" s="9" t="str">
        <f aca="false">IF(OR(B33="",D33=""),"",B33*D33)</f>
        <v/>
      </c>
      <c r="G33" s="10" t="str">
        <f aca="false">IF(OR(E33="",F33=""),"",F33*(1-تنظیمات!$B$5-تنظیمات!$B$6)-E33)</f>
        <v/>
      </c>
      <c r="H33" s="11" t="str">
        <f aca="false">IF(OR(G33="",E33=0),"",G33/E33)</f>
        <v/>
      </c>
      <c r="I33" s="12" t="str">
        <f aca="false">IF(OR(F33="",SUM(F$4:F$33)=0),"",F33/SUM(F$4:F$33))</f>
        <v/>
      </c>
      <c r="J33" s="13" t="str">
        <f aca="false">IF(H33="","",IF(I33&gt;تنظیمات!$B$7,"⚠️ تمرکز بالا",IF(H33&lt;=تنظیمات!$B$8,"🔎 مرور قاعده‌ی خروج","✓")))</f>
        <v/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</cols>
  <sheetData>
    <row r="1" customFormat="false" ht="30" hidden="false" customHeight="true" outlineLevel="0" collapsed="false">
      <c r="A1" s="1" t="s">
        <v>41</v>
      </c>
      <c r="B1" s="1"/>
    </row>
    <row r="3" customFormat="false" ht="15" hidden="false" customHeight="false" outlineLevel="0" collapsed="false">
      <c r="A3" s="3" t="s">
        <v>42</v>
      </c>
      <c r="B3" s="3" t="s">
        <v>11</v>
      </c>
    </row>
    <row r="4" customFormat="false" ht="15" hidden="false" customHeight="false" outlineLevel="0" collapsed="false">
      <c r="A4" s="4" t="s">
        <v>43</v>
      </c>
      <c r="B4" s="14" t="n">
        <f aca="false">COUNT(پرتفوی!B4:B33)</f>
        <v>5</v>
      </c>
    </row>
    <row r="5" customFormat="false" ht="15" hidden="false" customHeight="false" outlineLevel="0" collapsed="false">
      <c r="A5" s="4" t="s">
        <v>44</v>
      </c>
      <c r="B5" s="15" t="n">
        <f aca="false">SUM(پرتفوی!E4:E33)</f>
        <v>115515510</v>
      </c>
    </row>
    <row r="6" customFormat="false" ht="15" hidden="false" customHeight="false" outlineLevel="0" collapsed="false">
      <c r="A6" s="4" t="s">
        <v>45</v>
      </c>
      <c r="B6" s="15" t="n">
        <f aca="false">SUM(پرتفوی!F4:F33)</f>
        <v>138155000</v>
      </c>
    </row>
    <row r="7" customFormat="false" ht="15" hidden="false" customHeight="false" outlineLevel="0" collapsed="false">
      <c r="A7" s="4" t="s">
        <v>46</v>
      </c>
      <c r="B7" s="16" t="n">
        <f aca="false">SUM(پرتفوی!G4:G33)</f>
        <v>21534250</v>
      </c>
    </row>
    <row r="8" customFormat="false" ht="15" hidden="false" customHeight="false" outlineLevel="0" collapsed="false">
      <c r="A8" s="4" t="s">
        <v>47</v>
      </c>
      <c r="B8" s="17" t="n">
        <f aca="false">IF(B5=0,"",B7/B5)</f>
        <v>0.186418689576837</v>
      </c>
    </row>
    <row r="9" customFormat="false" ht="15" hidden="false" customHeight="false" outlineLevel="0" collapsed="false">
      <c r="A9" s="4" t="s">
        <v>48</v>
      </c>
      <c r="B9" s="15" t="n">
        <f aca="false">تنظیمات!B9</f>
        <v>5000000</v>
      </c>
    </row>
    <row r="10" customFormat="false" ht="15" hidden="false" customHeight="false" outlineLevel="0" collapsed="false">
      <c r="A10" s="4" t="s">
        <v>49</v>
      </c>
      <c r="B10" s="15" t="n">
        <f aca="false">B6+B9</f>
        <v>143155000</v>
      </c>
    </row>
    <row r="11" customFormat="false" ht="15" hidden="false" customHeight="false" outlineLevel="0" collapsed="false">
      <c r="A11" s="4" t="s">
        <v>50</v>
      </c>
      <c r="B11" s="18" t="n">
        <f aca="false">IFERROR(MAX(پرتفوی!I4:I33),"")</f>
        <v>0.532011146900221</v>
      </c>
    </row>
    <row r="12" customFormat="false" ht="15" hidden="false" customHeight="false" outlineLevel="0" collapsed="false">
      <c r="A12" s="4" t="s">
        <v>51</v>
      </c>
      <c r="B12" s="14" t="n">
        <f aca="false">COUNTIF(پرتفوی!G4:G33,"&lt;0")</f>
        <v>3</v>
      </c>
    </row>
    <row r="13" customFormat="false" ht="15" hidden="false" customHeight="false" outlineLevel="0" collapsed="false">
      <c r="A13" s="4" t="s">
        <v>52</v>
      </c>
      <c r="B13" s="18" t="n">
        <f aca="false">IF(B4=0,"",COUNTIF(پرتفوی!G4:G33,"&gt;0")/B4)</f>
        <v>0.4</v>
      </c>
    </row>
    <row r="14" customFormat="false" ht="26.85" hidden="false" customHeight="false" outlineLevel="0" collapsed="false">
      <c r="A14" s="4" t="s">
        <v>53</v>
      </c>
      <c r="B14" s="19" t="str">
        <f aca="false">IF(B11="","",IF(B11&gt;تنظیمات!B7,"⚠️ از سقف شخصی تو بیشتر است","✓ در محدوده"))</f>
        <v>⚠️ از سقف شخصی تو بیشتر است</v>
      </c>
    </row>
    <row r="17" customFormat="false" ht="15" hidden="false" customHeight="false" outlineLevel="0" collapsed="false">
      <c r="A17" s="6" t="s">
        <v>54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2026-10-07T10:22:08Z</dcterms:created>
  <dc:creator>openpyxl</dc:creator>
  <dc:description/>
  <dc:language>en-US</dc:language>
  <cp:lastModifiedBy/>
  <dcterms:modified xsi:type="dcterms:W3CDTF">2026-10-07T10:22:11Z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