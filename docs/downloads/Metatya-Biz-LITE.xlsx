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راهنما" sheetId="1" state="visible" r:id="rId3"/>
    <sheet name="سربه‌سر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<sst xmlns="http://schemas.openxmlformats.org/spreadsheetml/2006/main" count="34" uniqueCount="32">
  <si>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 xml:space="preserve">Metatya | پک شروع و رشد کسب‌وکار کوچک (رایگان)</t>
  </si>
  <si>
    <t xml:space="preserve">چطور استفاده کنم؟</t>
  </si>
  <si>
    <t xml:space="preserve">۱) در «سربه‌سر» قیمت و هزینه‌هایت را بنویس و ببین چند واحد باید بفروشی.</t>
  </si>
  <si>
    <t xml:space="preserve">۲) در «پیش‌بینی ۱۲ ماه» رشد را فرض کن و ببین نقدینگی تا کِی می‌ماند.</t>
  </si>
  <si>
    <t xml:space="preserve">۳) پیش از خرج بزرگ، «اعتبارسنجی مشتری» را با ۱۰ مصاحبه پر کن.</t>
  </si>
  <si>
    <t xml:space="preserve">۴) «برنامه ۹۰ روزه» را به کارهای هفتگی بشکن و پیشرفت را ببین.</t>
  </si>
  <si>
    <t xml:space="preserve">خانه‌ی زرد با متن آبی = ورودی شما؛ متن مشکی = فرمول (دست نزنید). ردیف‌های «نمونه» را قبل از شروع پاک کنید (فقط ورودی‌ها).</t>
  </si>
  <si>
    <t xml:space="preserve">سلب مسئولیت: مدل‌ها بر اساس ورودی‌های شما هستند و نتیجه یا سود تضمین نمی‌شود. مشاوره‌ی مالی، حقوقی یا مالیاتی نیست؛ برای تصمیم‌های بزرگ با متخصص مشورت کن.</t>
  </si>
  <si>
    <t xml:space="preserve">Metatya · t.me/maytya · youtube.com/@maytyaFx · instagram.com/maytyafx</t>
  </si>
  <si>
    <t xml:space="preserve">نقطه‌ی سربه‌سر</t>
  </si>
  <si>
    <t xml:space="preserve">ورودی</t>
  </si>
  <si>
    <t xml:space="preserve">مقدار</t>
  </si>
  <si>
    <t xml:space="preserve">توضیح</t>
  </si>
  <si>
    <t xml:space="preserve">قیمت فروش هر واحد</t>
  </si>
  <si>
    <t xml:space="preserve">هر واحد = یک محصول یا یک ساعت خدمت</t>
  </si>
  <si>
    <t xml:space="preserve">هزینه‌ی متغیر هر واحد</t>
  </si>
  <si>
    <t xml:space="preserve">مواد، بسته‌بندی، کارمزد، ارسال…</t>
  </si>
  <si>
    <t xml:space="preserve">هزینه‌ی ثابت ماهانه</t>
  </si>
  <si>
    <t xml:space="preserve">اجاره، حقوق ثابت، نرم‌افزار، تبلیغ ثابت…</t>
  </si>
  <si>
    <t xml:space="preserve">فروش ماهانه‌ی هدف (واحد)</t>
  </si>
  <si>
    <t xml:space="preserve">سود ماهانه‌ی مطلوب</t>
  </si>
  <si>
    <t xml:space="preserve">اختیاری</t>
  </si>
  <si>
    <t xml:space="preserve">خروجی</t>
  </si>
  <si>
    <t xml:space="preserve">حاشیه‌ی مشارکت هر واحد</t>
  </si>
  <si>
    <t xml:space="preserve">قیمت − هزینه‌ی متغیر</t>
  </si>
  <si>
    <t xml:space="preserve">حاشیه‌ی مشارکت ٪</t>
  </si>
  <si>
    <t xml:space="preserve">نقطه‌ی سربه‌سر (واحد در ماه)</t>
  </si>
  <si>
    <t xml:space="preserve">فروش لازم برای صفر شدن سود و زیان</t>
  </si>
  <si>
    <t xml:space="preserve">درآمد سربه‌سر</t>
  </si>
  <si>
    <t xml:space="preserve">سود/زیان ماهانه در فروش هدف</t>
  </si>
  <si>
    <t xml:space="preserve">واحد لازم برای سود مطلوب</t>
  </si>
  <si>
    <t xml:space="preserve">وضعیت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</si>
</sst>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;\-0.0%;\-"/>
    <numFmt numFmtId="167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63"/>
        <bgColor rgb="FF00808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63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21.75" hidden="false" customHeight="true" outlineLevel="0" collapsed="false">
      <c r="A4" s="2" t="s">
        <v>2</v>
      </c>
      <c r="B4" s="2"/>
      <c r="C4" s="2"/>
      <c r="D4" s="2"/>
      <c r="E4" s="2"/>
      <c r="F4" s="2"/>
    </row>
    <row r="5" customFormat="false" ht="21.75" hidden="false" customHeight="true" outlineLevel="0" collapsed="false">
      <c r="A5" s="2" t="s">
        <v>3</v>
      </c>
      <c r="B5" s="2"/>
      <c r="C5" s="2"/>
      <c r="D5" s="2"/>
      <c r="E5" s="2"/>
      <c r="F5" s="2"/>
    </row>
    <row r="6" customFormat="false" ht="21.75" hidden="false" customHeight="true" outlineLevel="0" collapsed="false">
      <c r="A6" s="2" t="s">
        <v>4</v>
      </c>
      <c r="B6" s="2"/>
      <c r="C6" s="2"/>
      <c r="D6" s="2"/>
      <c r="E6" s="2"/>
      <c r="F6" s="2"/>
    </row>
    <row r="7" customFormat="false" ht="21.75" hidden="false" customHeight="true" outlineLevel="0" collapsed="false">
      <c r="A7" s="2" t="s">
        <v>5</v>
      </c>
      <c r="B7" s="2"/>
      <c r="C7" s="2"/>
      <c r="D7" s="2"/>
      <c r="E7" s="2"/>
      <c r="F7" s="2"/>
    </row>
    <row r="8" customFormat="false" ht="45.75" hidden="false" customHeight="true" outlineLevel="0" collapsed="false">
      <c r="A8" s="2" t="s">
        <v>6</v>
      </c>
      <c r="B8" s="2"/>
      <c r="C8" s="2"/>
      <c r="D8" s="2"/>
      <c r="E8" s="2"/>
      <c r="F8" s="2"/>
    </row>
    <row r="9" customFormat="false" ht="45.75" hidden="false" customHeight="true" outlineLevel="0" collapsed="false">
      <c r="A9" s="2" t="s">
        <v>7</v>
      </c>
      <c r="B9" s="2"/>
      <c r="C9" s="2"/>
      <c r="D9" s="2"/>
      <c r="E9" s="2"/>
      <c r="F9" s="2"/>
    </row>
    <row r="10" customFormat="false" ht="21.75" hidden="false" customHeight="true" outlineLevel="0" collapsed="false">
      <c r="A10" s="2" t="s">
        <v>8</v>
      </c>
      <c r="B10" s="2"/>
      <c r="C10" s="2"/>
      <c r="D10" s="2"/>
      <c r="E10" s="2"/>
      <c r="F10" s="2"/>
    </row>
  </sheetData>
  <mergeCells count="9">
    <mergeCell ref="A1:F1"/>
    <mergeCell ref="A3:F3"/>
    <mergeCell ref="A4:F4"/>
    <mergeCell ref="A5:F5"/>
    <mergeCell ref="A6:F6"/>
    <mergeCell ref="A7:F7"/>
    <mergeCell ref="A8:F8"/>
    <mergeCell ref="A9:F9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50"/>
  </cols>
  <sheetData>
    <row r="1" customFormat="false" ht="30" hidden="false" customHeight="true" outlineLevel="0" collapsed="false">
      <c r="A1" s="1" t="s">
        <v>9</v>
      </c>
      <c r="B1" s="1"/>
      <c r="C1" s="1"/>
    </row>
    <row r="3" customFormat="false" ht="15" hidden="false" customHeight="false" outlineLevel="0" collapsed="false">
      <c r="A3" s="3" t="s">
        <v>10</v>
      </c>
      <c r="B3" s="3" t="s">
        <v>11</v>
      </c>
      <c r="C3" s="3" t="s">
        <v>12</v>
      </c>
    </row>
    <row r="4" customFormat="false" ht="15" hidden="false" customHeight="false" outlineLevel="0" collapsed="false">
      <c r="A4" s="4" t="s">
        <v>13</v>
      </c>
      <c r="B4" s="5" t="n">
        <v>500000</v>
      </c>
      <c r="C4" s="6" t="s">
        <v>14</v>
      </c>
    </row>
    <row r="5" customFormat="false" ht="15" hidden="false" customHeight="false" outlineLevel="0" collapsed="false">
      <c r="A5" s="4" t="s">
        <v>15</v>
      </c>
      <c r="B5" s="5" t="n">
        <v>300000</v>
      </c>
      <c r="C5" s="6" t="s">
        <v>16</v>
      </c>
    </row>
    <row r="6" customFormat="false" ht="15" hidden="false" customHeight="false" outlineLevel="0" collapsed="false">
      <c r="A6" s="4" t="s">
        <v>17</v>
      </c>
      <c r="B6" s="5" t="n">
        <v>20000000</v>
      </c>
      <c r="C6" s="6" t="s">
        <v>18</v>
      </c>
    </row>
    <row r="7" customFormat="false" ht="15" hidden="false" customHeight="false" outlineLevel="0" collapsed="false">
      <c r="A7" s="4" t="s">
        <v>19</v>
      </c>
      <c r="B7" s="5" t="n">
        <v>150</v>
      </c>
      <c r="C7" s="6"/>
    </row>
    <row r="8" customFormat="false" ht="15" hidden="false" customHeight="false" outlineLevel="0" collapsed="false">
      <c r="A8" s="4" t="s">
        <v>20</v>
      </c>
      <c r="B8" s="5" t="n">
        <v>10000000</v>
      </c>
      <c r="C8" s="6" t="s">
        <v>21</v>
      </c>
    </row>
    <row r="10" customFormat="false" ht="15" hidden="false" customHeight="false" outlineLevel="0" collapsed="false">
      <c r="A10" s="3" t="s">
        <v>22</v>
      </c>
      <c r="B10" s="3" t="s">
        <v>11</v>
      </c>
      <c r="C10" s="3" t="s">
        <v>12</v>
      </c>
    </row>
    <row r="11" customFormat="false" ht="15" hidden="false" customHeight="false" outlineLevel="0" collapsed="false">
      <c r="A11" s="4" t="s">
        <v>23</v>
      </c>
      <c r="B11" s="7" t="n">
        <f aca="false">B4-B5</f>
        <v>200000</v>
      </c>
      <c r="C11" s="6" t="s">
        <v>24</v>
      </c>
    </row>
    <row r="12" customFormat="false" ht="15" hidden="false" customHeight="false" outlineLevel="0" collapsed="false">
      <c r="A12" s="4" t="s">
        <v>25</v>
      </c>
      <c r="B12" s="8" t="n">
        <f aca="false">IF(B4=0,"",B11/B4)</f>
        <v>0.4</v>
      </c>
      <c r="C12" s="6"/>
    </row>
    <row r="13" customFormat="false" ht="15" hidden="false" customHeight="false" outlineLevel="0" collapsed="false">
      <c r="A13" s="9" t="s">
        <v>26</v>
      </c>
      <c r="B13" s="7" t="n">
        <f aca="false">IF(B11&lt;=0,"قیمت زیر هزینه است",B6/B11)</f>
        <v>100</v>
      </c>
      <c r="C13" s="6" t="s">
        <v>27</v>
      </c>
    </row>
    <row r="14" customFormat="false" ht="15" hidden="false" customHeight="false" outlineLevel="0" collapsed="false">
      <c r="A14" s="4" t="s">
        <v>28</v>
      </c>
      <c r="B14" s="7" t="n">
        <f aca="false">IF(ISNUMBER(B13),B13*B4,"")</f>
        <v>50000000</v>
      </c>
      <c r="C14" s="6"/>
    </row>
    <row r="15" customFormat="false" ht="15" hidden="false" customHeight="false" outlineLevel="0" collapsed="false">
      <c r="A15" s="4" t="s">
        <v>29</v>
      </c>
      <c r="B15" s="7" t="n">
        <f aca="false">B7*B11-B6</f>
        <v>10000000</v>
      </c>
      <c r="C15" s="6"/>
    </row>
    <row r="16" customFormat="false" ht="15" hidden="false" customHeight="false" outlineLevel="0" collapsed="false">
      <c r="A16" s="4" t="s">
        <v>30</v>
      </c>
      <c r="B16" s="7" t="n">
        <f aca="false">IF(B11&lt;=0,"",(B6+B8)/B11)</f>
        <v>150</v>
      </c>
      <c r="C16" s="6"/>
    </row>
    <row r="17" customFormat="false" ht="26.85" hidden="false" customHeight="false" outlineLevel="0" collapsed="false">
      <c r="A17" s="4" t="s">
        <v>31</v>
      </c>
      <c r="B17" s="10" t="str">
        <f aca="false">IF(B11&lt;=0,"❌ قیمت زیر هزینه‌ی متغیر است",IF(B15&gt;=0,"✅ فروش هدف بالاتر از سربه‌سر است","⚠️ فروش هدف پایین‌تر از سربه‌سر است"))</f>
        <v>✅ فروش هدف بالاتر از سربه‌سر است</v>
      </c>
      <c r="C17" s="6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2026-10-07T03:40:47Z</dcterms:created>
  <dc:creator>openpyxl</dc:creator>
  <dc:description/>
  <dc:language>en-US</dc:language>
  <cp:lastModifiedBy/>
  <dcterms:modified xsi:type="dcterms:W3CDTF">2026-10-07T03:40:47Z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