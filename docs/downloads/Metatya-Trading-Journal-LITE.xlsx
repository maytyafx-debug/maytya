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تنظیمات" sheetId="2" state="visible" r:id="rId4"/>
    <sheet name="محاسبه حجم" sheetId="3" state="visible" r:id="rId5"/>
    <sheet name="چک‌لیست قبل از معامله" sheetId="4" state="visible" r:id="rId6"/>
    <sheet name="دفترچه معاملات" sheetId="5" state="visible" r:id="rId7"/>
    <sheet name="پرتفوی بورس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<sst xmlns="http://schemas.openxmlformats.org/spreadsheetml/2006/main" count="115" uniqueCount="104">
  <si>
    <t xml:space="preserve">Metatya | دفترچه معاملات و مدیریت ریسک (نسخه‌ی رایگان)</t>
  </si>
  <si>
    <t xml:space="preserve">چطور استفاده کنم؟</t>
  </si>
  <si>
    <t xml:space="preserve">۱) در برگه‌ی «تنظیمات» سرمایه‌ی اولیه و درصد ریسک خودتان را وارد کنید (خانه‌های زردِ آبی‌رنگ).</t>
  </si>
  <si>
    <t xml:space="preserve">۲) قبل از هر معامله، «چک‌لیست قبل از معامله» را بخوانید و «محاسبه حجم» حجم مجاز را حساب می‌کند.</t>
  </si>
  <si>
    <t xml:space="preserve">۳) بعد از بستن معامله، یک ردیف در «دفترچه معاملات» پر کنید؛ ستون‌های سود/زیان، R و نتیجه خودکارند.</t>
  </si>
  <si>
    <t xml:space="preserve">۴) ردیف ۵ یک «نمونه» است؛ پیش از شروع پاکش کنید (فقط ستون‌های ورودی؛ فرمول‌ها را پاک نکنید).</t>
  </si>
  <si>
    <t xml:space="preserve">راهنمای رنگ‌ها: خانه‌ی زرد با متن آبی = ورودی شما · متن مشکی = فرمول (دست نزنید).</t>
  </si>
  <si>
    <t xml:space="preserve">ستون «حجم» و «ارزش هر ۱ واحد حرکت» را مطابق بازار خود پر کنید: سهام/کریپتو معمولاً ارزش=۱ و حجم=تعداد؛ در فارکس حجم=تعداد واحد (۱ لات استاندارد=۱۰۰٬۰۰۰) و ارزش=۱ (به واحد پول حساب).</t>
  </si>
  <si>
    <t xml:space="preserve">R-multiple یعنی سود/زیان را بر ریسک اولیه‌ی همان معامله تقسیم کنیم؛ +2R یعنی دو برابر ریسک سود کرده‌اید.</t>
  </si>
  <si>
    <t xml:space="preserve">برگه‌ی «پرتفوی بورس»: نماد، تعداد، میانگین خرید و قیمت روز را بنویس؛ ارزش خالص (بعد از کارمزد فروش)، سود/زیان، وزن هر نماد و هشدار تمرکز خودکار حساب می‌شود.</t>
  </si>
  <si>
    <t xml:space="preserve">سلب مسئولیت: این فایل ابزار ثبت و آموزش است؛ توصیه‌ی سرمایه‌گذاری یا وعده‌ی سود نیست. معامله‌ی بازارهای مالی ریسک زیان دارد.</t>
  </si>
  <si>
    <t xml:space="preserve">Metatya · t.me/maytya · youtube.com/@maytyaFx · instagram.com/maytyafx</t>
  </si>
  <si>
    <t xml:space="preserve">تنظیمات حساب</t>
  </si>
  <si>
    <t xml:space="preserve">پارامتر</t>
  </si>
  <si>
    <t xml:space="preserve">مقدار</t>
  </si>
  <si>
    <t xml:space="preserve">توضیح</t>
  </si>
  <si>
    <t xml:space="preserve">سرمایه‌ی اولیه</t>
  </si>
  <si>
    <t xml:space="preserve">عدد خودتان را بنویسید (نمونه: ۱۰٬۰۰۰)</t>
  </si>
  <si>
    <t xml:space="preserve">درصد ریسک هر معامله</t>
  </si>
  <si>
    <t xml:space="preserve">پیشنهاد آموزشی: ۰٫۵٪ تا ۱٪؛ عدد انتخاب‌شده با خودتان است</t>
  </si>
  <si>
    <t xml:space="preserve">سقف ضرر مجاز ۷ روز اخیر (٪ سرمایه)</t>
  </si>
  <si>
    <t xml:space="preserve">اگر زیان ۷ روزه از این بیشتر شد، داشبورد «توقف» می‌دهد</t>
  </si>
  <si>
    <t xml:space="preserve">حداقل نسبت سود به ریسک (R:R)</t>
  </si>
  <si>
    <t xml:space="preserve">معامله‌ی کمتر از این عدد در ماشین‌حساب «رد» می‌شود</t>
  </si>
  <si>
    <t xml:space="preserve">واحد پول</t>
  </si>
  <si>
    <t xml:space="preserve">USD</t>
  </si>
  <si>
    <t xml:space="preserve">فقط برچسب است</t>
  </si>
  <si>
    <t xml:space="preserve">ماشین‌حساب حجم معامله</t>
  </si>
  <si>
    <t xml:space="preserve">ورودی</t>
  </si>
  <si>
    <t xml:space="preserve">قیمت ورود</t>
  </si>
  <si>
    <t xml:space="preserve">حد ضرر</t>
  </si>
  <si>
    <t xml:space="preserve">باید با جهت معامله هم‌خوان باشد</t>
  </si>
  <si>
    <t xml:space="preserve">هدف</t>
  </si>
  <si>
    <t xml:space="preserve">ارزش هر ۱ واحد حرکت قیمت</t>
  </si>
  <si>
    <t xml:space="preserve">مثل دفترچه: معمولاً ۱ (فارکس: به واحد پول حساب)</t>
  </si>
  <si>
    <t xml:space="preserve">خروجی</t>
  </si>
  <si>
    <t xml:space="preserve">سرمایه‌ی فعلی</t>
  </si>
  <si>
    <t xml:space="preserve">سرمایه‌ی اولیه + مجموع سود/زیان دفترچه</t>
  </si>
  <si>
    <t xml:space="preserve">مبلغ ریسک این معامله</t>
  </si>
  <si>
    <t xml:space="preserve">سرمایه × درصد ریسک</t>
  </si>
  <si>
    <t xml:space="preserve">فاصله‌ی حد ضرر</t>
  </si>
  <si>
    <t xml:space="preserve">حجم مجاز</t>
  </si>
  <si>
    <t xml:space="preserve">ریسک ÷ (فاصله × ارزش هر واحد)</t>
  </si>
  <si>
    <t xml:space="preserve">نسبت سود به ریسک (R:R)</t>
  </si>
  <si>
    <t xml:space="preserve">سود احتمالی تا هدف</t>
  </si>
  <si>
    <t xml:space="preserve">وضعیت</t>
  </si>
  <si>
    <t xml:space="preserve">چک‌لیست قبل از معامله</t>
  </si>
  <si>
    <t xml:space="preserve">مورد</t>
  </si>
  <si>
    <t xml:space="preserve">بله/خیر</t>
  </si>
  <si>
    <t xml:space="preserve">سناریوی معامله را در یک جمله نوشته‌ام</t>
  </si>
  <si>
    <t xml:space="preserve">حد ضرر قبل از ورود مشخص است</t>
  </si>
  <si>
    <t xml:space="preserve">ریسک پولی از درصد مجاز بیشتر نیست</t>
  </si>
  <si>
    <t xml:space="preserve">نسبت سود به ریسک از حداقل بیشتر است</t>
  </si>
  <si>
    <t xml:space="preserve">خبر مهم اقتصادی در ۳۰ دقیقه‌ی آینده نیست</t>
  </si>
  <si>
    <t xml:space="preserve">ذهنم آرام است (انتقام، ترس یا هیجان ندارم)</t>
  </si>
  <si>
    <t xml:space="preserve">این معامله بخشی از برنامه‌ی مکتوب من است</t>
  </si>
  <si>
    <t xml:space="preserve">سقف ضرر هفتگی را رد نکرده‌ام</t>
  </si>
  <si>
    <t xml:space="preserve">نتیجه</t>
  </si>
  <si>
    <t xml:space="preserve">اگر حتی یک مورد «خیر» است، صبر کنید؛ نمونه‌ای از پشیمانی‌های معمول معامله‌گران از همین موارد شروع می‌شود.</t>
  </si>
  <si>
    <t xml:space="preserve">دفترچه معاملات</t>
  </si>
  <si>
    <t xml:space="preserve">ردیف ۵ نمونه است (پاک کنید). تاریخ را میلادی بنویسید (مثل 2026-10-02). فقط خانه‌های زرد را پر کنید؛ ستون‌های K تا M و Q تا R خودکارند.</t>
  </si>
  <si>
    <t xml:space="preserve">#</t>
  </si>
  <si>
    <t xml:space="preserve">تاریخ</t>
  </si>
  <si>
    <t xml:space="preserve">نماد</t>
  </si>
  <si>
    <t xml:space="preserve">جهت</t>
  </si>
  <si>
    <t xml:space="preserve">قیمت خروج</t>
  </si>
  <si>
    <t xml:space="preserve">حجم</t>
  </si>
  <si>
    <t xml:space="preserve">ارزش هر ۱ واحد حرکت</t>
  </si>
  <si>
    <t xml:space="preserve">سود/زیان</t>
  </si>
  <si>
    <t xml:space="preserve">R</t>
  </si>
  <si>
    <t xml:space="preserve">حالت ذهنی</t>
  </si>
  <si>
    <t xml:space="preserve">قوانین رعایت شد؟</t>
  </si>
  <si>
    <t xml:space="preserve">دلیل ورود / یادداشت</t>
  </si>
  <si>
    <t xml:space="preserve">سرمایه‌ی تجمعی</t>
  </si>
  <si>
    <t xml:space="preserve">افت از سقف</t>
  </si>
  <si>
    <t xml:space="preserve">EUR/USD</t>
  </si>
  <si>
    <t xml:space="preserve">فروش</t>
  </si>
  <si>
    <t xml:space="preserve">آرام</t>
  </si>
  <si>
    <t xml:space="preserve">بله</t>
  </si>
  <si>
    <t xml:space="preserve">نمونه: شکست حمایت ۱٫۱۳۱۲ و ورود در پولبک</t>
  </si>
  <si>
    <t xml:space="preserve">ردیاب پرتفوی بورس (ریال)</t>
  </si>
  <si>
    <t xml:space="preserve">کارمزد و مالیات فروش (٪ از ارزش)</t>
  </si>
  <si>
    <t xml:space="preserve">در نمونه‌ی اپ کارگزاری مرجع، «ارزش فعلی» حدود ۰٫۸۸٪ کمتر از تعداد×قیمت بود؛ نرخ کارگزاری خودت را بنویس</t>
  </si>
  <si>
    <t xml:space="preserve">قدرت خرید (ریال)</t>
  </si>
  <si>
    <t xml:space="preserve">از اپ کارگزاری بردار؛ عدد نمونه است</t>
  </si>
  <si>
    <t xml:space="preserve">حداکثر وزن مجاز هر نماد</t>
  </si>
  <si>
    <t xml:space="preserve">بالاتر از این عدد هشدار تمرکز می‌دهد (قانون خودت را بنویس)</t>
  </si>
  <si>
    <t xml:space="preserve">تعداد</t>
  </si>
  <si>
    <t xml:space="preserve">میانگین قیمت خرید</t>
  </si>
  <si>
    <t xml:space="preserve">آخرین قیمت</t>
  </si>
  <si>
    <t xml:space="preserve">قیمت پایانی</t>
  </si>
  <si>
    <t xml:space="preserve">ارزش فعلی (خالص)</t>
  </si>
  <si>
    <t xml:space="preserve">هزینه‌ی کل</t>
  </si>
  <si>
    <t xml:space="preserve">سود/زیان ٪</t>
  </si>
  <si>
    <t xml:space="preserve">تغییر امروز ٪</t>
  </si>
  <si>
    <t xml:space="preserve">وزن در پرتفوی</t>
  </si>
  <si>
    <t xml:space="preserve">هشدار</t>
  </si>
  <si>
    <t xml:space="preserve">نمونه ۱</t>
  </si>
  <si>
    <t xml:space="preserve">نمونه ۲</t>
  </si>
  <si>
    <t xml:space="preserve">نمونه ۳</t>
  </si>
  <si>
    <t xml:space="preserve">جمع پرتفوی</t>
  </si>
  <si>
    <t xml:space="preserve">کل دارایی (پرتفوی + قدرت خرید)</t>
  </si>
  <si>
    <t xml:space="preserve">بزرگ‌ترین وزن یک نماد</t>
  </si>
  <si>
    <t xml:space="preserve">قیمت‌ها را خودت از اپ کارگزاری بنویس (این فایل به بورس وصل نیست). ردیف‌های «نمونه» را پاک کن. آموزشی است و توصیه‌ی خرید/فروش یا سرمایه‌گذاری نیست.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</si>
</sst>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;\(#,##0.00\);\-"/>
    <numFmt numFmtId="166" formatCode="0.0%;\-0.0%;\-"/>
    <numFmt numFmtId="167" formatCode="0.0"/>
    <numFmt numFmtId="168" formatCode="@"/>
    <numFmt numFmtId="169" formatCode="0.00000"/>
    <numFmt numFmtId="170" formatCode="0.00"/>
    <numFmt numFmtId="171" formatCode="#,##0.00"/>
    <numFmt numFmtId="172" formatCode="yyyy\-mm\-dd"/>
    <numFmt numFmtId="173" formatCode="0.00%"/>
    <numFmt numFmtId="174" formatCode="#,##0"/>
    <numFmt numFmtId="175" formatCode="0%"/>
    <numFmt numFmtId="176" formatCode="#,##0;[RED]\-#,##0"/>
    <numFmt numFmtId="177" formatCode="0.0%;[RED]\-0.0%"/>
    <numFmt numFmtId="17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88888"/>
      <name val="Arial"/>
      <family val="0"/>
      <charset val="1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43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3.5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43.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43.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21.75" hidden="false" customHeight="true" outlineLevel="0" collapsed="false">
      <c r="A8" s="3" t="s">
        <v>6</v>
      </c>
      <c r="B8" s="3"/>
      <c r="C8" s="3"/>
      <c r="D8" s="3"/>
      <c r="E8" s="3"/>
      <c r="F8" s="3"/>
    </row>
    <row r="9" customFormat="false" ht="43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3.5" hidden="false" customHeight="true" outlineLevel="0" collapsed="false">
      <c r="A10" s="3" t="s">
        <v>8</v>
      </c>
      <c r="B10" s="3"/>
      <c r="C10" s="3"/>
      <c r="D10" s="3"/>
      <c r="E10" s="3"/>
      <c r="F10" s="3"/>
    </row>
    <row r="11" customFormat="false" ht="43.5" hidden="false" customHeight="true" outlineLevel="0" collapsed="false">
      <c r="A11" s="3" t="s">
        <v>9</v>
      </c>
      <c r="B11" s="3"/>
      <c r="C11" s="3"/>
      <c r="D11" s="3"/>
      <c r="E11" s="3"/>
      <c r="F11" s="3"/>
    </row>
    <row r="12" customFormat="false" ht="43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21.75" hidden="false" customHeight="true" outlineLevel="0" collapsed="false">
      <c r="A13" s="3" t="s">
        <v>11</v>
      </c>
      <c r="B13" s="3"/>
      <c r="C13" s="3"/>
      <c r="D13" s="3"/>
      <c r="E13" s="3"/>
      <c r="F13" s="3"/>
    </row>
  </sheetData>
  <mergeCells count="12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12</v>
      </c>
      <c r="B1" s="1"/>
      <c r="C1" s="1"/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</row>
    <row r="4" customFormat="false" ht="15" hidden="false" customHeight="false" outlineLevel="0" collapsed="false">
      <c r="A4" s="5" t="s">
        <v>16</v>
      </c>
      <c r="B4" s="6" t="n">
        <v>10000</v>
      </c>
      <c r="C4" s="7" t="s">
        <v>17</v>
      </c>
    </row>
    <row r="5" customFormat="false" ht="15" hidden="false" customHeight="false" outlineLevel="0" collapsed="false">
      <c r="A5" s="5" t="s">
        <v>18</v>
      </c>
      <c r="B5" s="8" t="n">
        <v>0.01</v>
      </c>
      <c r="C5" s="7" t="s">
        <v>19</v>
      </c>
    </row>
    <row r="6" customFormat="false" ht="15" hidden="false" customHeight="false" outlineLevel="0" collapsed="false">
      <c r="A6" s="5" t="s">
        <v>20</v>
      </c>
      <c r="B6" s="8" t="n">
        <v>0.05</v>
      </c>
      <c r="C6" s="7" t="s">
        <v>21</v>
      </c>
    </row>
    <row r="7" customFormat="false" ht="15" hidden="false" customHeight="false" outlineLevel="0" collapsed="false">
      <c r="A7" s="5" t="s">
        <v>22</v>
      </c>
      <c r="B7" s="9" t="n">
        <v>1.5</v>
      </c>
      <c r="C7" s="7" t="s">
        <v>23</v>
      </c>
    </row>
    <row r="8" customFormat="false" ht="15" hidden="false" customHeight="false" outlineLevel="0" collapsed="false">
      <c r="A8" s="5" t="s">
        <v>24</v>
      </c>
      <c r="B8" s="10" t="s">
        <v>25</v>
      </c>
      <c r="C8" s="7" t="s">
        <v>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27</v>
      </c>
      <c r="B1" s="1"/>
      <c r="C1" s="1"/>
    </row>
    <row r="3" customFormat="false" ht="15" hidden="false" customHeight="false" outlineLevel="0" collapsed="false">
      <c r="A3" s="4" t="s">
        <v>28</v>
      </c>
      <c r="B3" s="4" t="s">
        <v>14</v>
      </c>
      <c r="C3" s="4" t="s">
        <v>15</v>
      </c>
    </row>
    <row r="4" customFormat="false" ht="15" hidden="false" customHeight="false" outlineLevel="0" collapsed="false">
      <c r="A4" s="11" t="s">
        <v>29</v>
      </c>
      <c r="B4" s="12" t="n">
        <v>1.128</v>
      </c>
      <c r="C4" s="13"/>
    </row>
    <row r="5" customFormat="false" ht="15" hidden="false" customHeight="false" outlineLevel="0" collapsed="false">
      <c r="A5" s="11" t="s">
        <v>30</v>
      </c>
      <c r="B5" s="12" t="n">
        <v>1.133</v>
      </c>
      <c r="C5" s="13" t="s">
        <v>31</v>
      </c>
    </row>
    <row r="6" customFormat="false" ht="15" hidden="false" customHeight="false" outlineLevel="0" collapsed="false">
      <c r="A6" s="11" t="s">
        <v>32</v>
      </c>
      <c r="B6" s="12" t="n">
        <v>1.118</v>
      </c>
      <c r="C6" s="13"/>
    </row>
    <row r="7" customFormat="false" ht="15" hidden="false" customHeight="false" outlineLevel="0" collapsed="false">
      <c r="A7" s="11" t="s">
        <v>33</v>
      </c>
      <c r="B7" s="14" t="n">
        <v>1</v>
      </c>
      <c r="C7" s="13" t="s">
        <v>34</v>
      </c>
    </row>
    <row r="9" customFormat="false" ht="15" hidden="false" customHeight="false" outlineLevel="0" collapsed="false">
      <c r="A9" s="4" t="s">
        <v>35</v>
      </c>
      <c r="B9" s="4" t="s">
        <v>14</v>
      </c>
      <c r="C9" s="4" t="s">
        <v>15</v>
      </c>
    </row>
    <row r="10" customFormat="false" ht="15" hidden="false" customHeight="false" outlineLevel="0" collapsed="false">
      <c r="A10" s="11" t="s">
        <v>36</v>
      </c>
      <c r="B10" s="15" t="n">
        <f aca="false">تنظیمات!$B$4+SUM('دفترچه معاملات'!$K$5:$K$24)</f>
        <v>10070</v>
      </c>
      <c r="C10" s="13" t="s">
        <v>37</v>
      </c>
    </row>
    <row r="11" customFormat="false" ht="15" hidden="false" customHeight="false" outlineLevel="0" collapsed="false">
      <c r="A11" s="11" t="s">
        <v>38</v>
      </c>
      <c r="B11" s="15" t="n">
        <f aca="false">B10*تنظیمات!$B$5</f>
        <v>100.7</v>
      </c>
      <c r="C11" s="13" t="s">
        <v>39</v>
      </c>
    </row>
    <row r="12" customFormat="false" ht="15" hidden="false" customHeight="false" outlineLevel="0" collapsed="false">
      <c r="A12" s="11" t="s">
        <v>40</v>
      </c>
      <c r="B12" s="16" t="n">
        <f aca="false">ABS(B4-B5)</f>
        <v>0.00500000000000012</v>
      </c>
      <c r="C12" s="13"/>
    </row>
    <row r="13" customFormat="false" ht="15" hidden="false" customHeight="false" outlineLevel="0" collapsed="false">
      <c r="A13" s="17" t="s">
        <v>41</v>
      </c>
      <c r="B13" s="18" t="n">
        <f aca="false">IF(OR(B12=0,B7=0),"",B11/(B12*B7))</f>
        <v>20139.9999999995</v>
      </c>
      <c r="C13" s="13" t="s">
        <v>42</v>
      </c>
    </row>
    <row r="14" customFormat="false" ht="15" hidden="false" customHeight="false" outlineLevel="0" collapsed="false">
      <c r="A14" s="11" t="s">
        <v>43</v>
      </c>
      <c r="B14" s="19" t="n">
        <f aca="false">IF(B12=0,"",ABS(B6-B4)/B12)</f>
        <v>1.99999999999991</v>
      </c>
      <c r="C14" s="13"/>
    </row>
    <row r="15" customFormat="false" ht="15" hidden="false" customHeight="false" outlineLevel="0" collapsed="false">
      <c r="A15" s="11" t="s">
        <v>44</v>
      </c>
      <c r="B15" s="15" t="n">
        <f aca="false">IF(B13="","",B13*ABS(B6-B4)*B7)</f>
        <v>201.399999999991</v>
      </c>
      <c r="C15" s="13"/>
    </row>
    <row r="16" customFormat="false" ht="15" hidden="false" customHeight="false" outlineLevel="0" collapsed="false">
      <c r="A16" s="11" t="s">
        <v>45</v>
      </c>
      <c r="B16" s="20" t="str">
        <f aca="false">IF(B14="","ورودی را کامل کنید",IF(B14&gt;=تنظیمات!$B$7,"✅ R:R قابل قبول","❌ R:R کمتر از حداقل؛ وارد نشوید"))</f>
        <v>✅ R:R قابل قبول</v>
      </c>
      <c r="C16" s="1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46</v>
      </c>
      <c r="B1" s="1"/>
      <c r="C1" s="1"/>
    </row>
    <row r="3" customFormat="false" ht="15" hidden="false" customHeight="false" outlineLevel="0" collapsed="false">
      <c r="A3" s="4" t="s">
        <v>47</v>
      </c>
      <c r="B3" s="4" t="s">
        <v>48</v>
      </c>
      <c r="C3" s="4" t="s">
        <v>15</v>
      </c>
    </row>
    <row r="4" customFormat="false" ht="15" hidden="false" customHeight="false" outlineLevel="0" collapsed="false">
      <c r="A4" s="5" t="s">
        <v>49</v>
      </c>
      <c r="B4" s="21"/>
    </row>
    <row r="5" customFormat="false" ht="15" hidden="false" customHeight="false" outlineLevel="0" collapsed="false">
      <c r="A5" s="5" t="s">
        <v>50</v>
      </c>
      <c r="B5" s="21"/>
    </row>
    <row r="6" customFormat="false" ht="15" hidden="false" customHeight="false" outlineLevel="0" collapsed="false">
      <c r="A6" s="5" t="s">
        <v>51</v>
      </c>
      <c r="B6" s="21"/>
    </row>
    <row r="7" customFormat="false" ht="15" hidden="false" customHeight="false" outlineLevel="0" collapsed="false">
      <c r="A7" s="5" t="s">
        <v>52</v>
      </c>
      <c r="B7" s="21"/>
    </row>
    <row r="8" customFormat="false" ht="15" hidden="false" customHeight="false" outlineLevel="0" collapsed="false">
      <c r="A8" s="5" t="s">
        <v>53</v>
      </c>
      <c r="B8" s="21"/>
    </row>
    <row r="9" customFormat="false" ht="15" hidden="false" customHeight="false" outlineLevel="0" collapsed="false">
      <c r="A9" s="5" t="s">
        <v>54</v>
      </c>
      <c r="B9" s="21"/>
    </row>
    <row r="10" customFormat="false" ht="15" hidden="false" customHeight="false" outlineLevel="0" collapsed="false">
      <c r="A10" s="5" t="s">
        <v>55</v>
      </c>
      <c r="B10" s="21"/>
    </row>
    <row r="11" customFormat="false" ht="15" hidden="false" customHeight="false" outlineLevel="0" collapsed="false">
      <c r="A11" s="5" t="s">
        <v>56</v>
      </c>
      <c r="B11" s="21"/>
    </row>
    <row r="13" customFormat="false" ht="15" hidden="false" customHeight="false" outlineLevel="0" collapsed="false">
      <c r="A13" s="17" t="s">
        <v>57</v>
      </c>
      <c r="B13" s="22" t="str">
        <f aca="false">IF(COUNTIF(B4:B11,"بله")=8,"✅ مجاز به ورود","⛔ هنوز نه")</f>
        <v>⛔ هنوز نه</v>
      </c>
    </row>
    <row r="14" customFormat="false" ht="15" hidden="false" customHeight="false" outlineLevel="0" collapsed="false">
      <c r="A14" s="13" t="s">
        <v>58</v>
      </c>
    </row>
  </sheetData>
  <mergeCells count="1">
    <mergeCell ref="A1:C1"/>
  </mergeCells>
  <dataValidations count="1">
    <dataValidation allowBlank="true" errorStyle="stop" operator="between" showDropDown="false" showErrorMessage="false" showInputMessage="false" sqref="B4:B11" type="list">
      <formula1>"بله,خیر"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36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3" t="s">
        <v>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4" customFormat="false" ht="36" hidden="false" customHeight="tru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29</v>
      </c>
      <c r="F4" s="4" t="s">
        <v>30</v>
      </c>
      <c r="G4" s="4" t="s">
        <v>32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57</v>
      </c>
      <c r="N4" s="4" t="s">
        <v>70</v>
      </c>
      <c r="O4" s="4" t="s">
        <v>71</v>
      </c>
      <c r="P4" s="4" t="s">
        <v>72</v>
      </c>
      <c r="Q4" s="4" t="s">
        <v>73</v>
      </c>
      <c r="R4" s="4" t="s">
        <v>74</v>
      </c>
    </row>
    <row r="5" customFormat="false" ht="15" hidden="false" customHeight="false" outlineLevel="0" collapsed="false">
      <c r="A5" s="24" t="n">
        <v>1</v>
      </c>
      <c r="B5" s="25" t="n">
        <v>46297</v>
      </c>
      <c r="C5" s="21" t="s">
        <v>75</v>
      </c>
      <c r="D5" s="21" t="s">
        <v>76</v>
      </c>
      <c r="E5" s="12" t="n">
        <v>1.128</v>
      </c>
      <c r="F5" s="12" t="n">
        <v>1.133</v>
      </c>
      <c r="G5" s="12" t="n">
        <v>1.118</v>
      </c>
      <c r="H5" s="12" t="n">
        <v>1.121</v>
      </c>
      <c r="I5" s="21" t="n">
        <v>10000</v>
      </c>
      <c r="J5" s="21" t="n">
        <v>1</v>
      </c>
      <c r="K5" s="15" t="n">
        <f aca="false">IF(OR(H5="",E5=""),"",IF(D5="خرید",H5-E5,E5-H5)*I5*J5)</f>
        <v>69.999999999999</v>
      </c>
      <c r="L5" s="19" t="n">
        <f aca="false">IF(K5="","",IFERROR(K5/(ABS(E5-F5)*I5*J5),""))</f>
        <v>1.39999999999995</v>
      </c>
      <c r="M5" s="26" t="str">
        <f aca="false">IF(K5="","",IF(K5&gt;0,"برد",IF(K5&lt;0,"باخت","سربه‌سر")))</f>
        <v>برد</v>
      </c>
      <c r="N5" s="21" t="s">
        <v>77</v>
      </c>
      <c r="O5" s="21" t="s">
        <v>78</v>
      </c>
      <c r="P5" s="27" t="s">
        <v>79</v>
      </c>
      <c r="Q5" s="15" t="n">
        <f aca="false">IF(K5="","",تنظیمات!$B$4+SUM(K$5:K5))</f>
        <v>10070</v>
      </c>
      <c r="R5" s="28" t="n">
        <f aca="false">IF(Q5="","",Q5/MAX(تنظیمات!$B$4,MAX(Q$5:Q5))-1)</f>
        <v>0</v>
      </c>
    </row>
    <row r="6" customFormat="false" ht="15" hidden="false" customHeight="false" outlineLevel="0" collapsed="false">
      <c r="A6" s="24" t="n">
        <v>2</v>
      </c>
      <c r="B6" s="25"/>
      <c r="C6" s="21"/>
      <c r="D6" s="21"/>
      <c r="E6" s="12"/>
      <c r="F6" s="12"/>
      <c r="G6" s="12"/>
      <c r="H6" s="12"/>
      <c r="I6" s="21"/>
      <c r="J6" s="21"/>
      <c r="K6" s="15" t="str">
        <f aca="false">IF(OR(H6="",E6=""),"",IF(D6="خرید",H6-E6,E6-H6)*I6*J6)</f>
        <v/>
      </c>
      <c r="L6" s="19" t="str">
        <f aca="false">IF(K6="","",IFERROR(K6/(ABS(E6-F6)*I6*J6),""))</f>
        <v/>
      </c>
      <c r="M6" s="26" t="str">
        <f aca="false">IF(K6="","",IF(K6&gt;0,"برد",IF(K6&lt;0,"باخت","سربه‌سر")))</f>
        <v/>
      </c>
      <c r="N6" s="21"/>
      <c r="O6" s="21"/>
      <c r="P6" s="27"/>
      <c r="Q6" s="15" t="str">
        <f aca="false">IF(K6="","",تنظیمات!$B$4+SUM(K$5:K6))</f>
        <v/>
      </c>
      <c r="R6" s="28" t="str">
        <f aca="false">IF(Q6="","",Q6/MAX(تنظیمات!$B$4,MAX(Q$5:Q6))-1)</f>
        <v/>
      </c>
    </row>
    <row r="7" customFormat="false" ht="15" hidden="false" customHeight="false" outlineLevel="0" collapsed="false">
      <c r="A7" s="24" t="n">
        <v>3</v>
      </c>
      <c r="B7" s="25"/>
      <c r="C7" s="21"/>
      <c r="D7" s="21"/>
      <c r="E7" s="12"/>
      <c r="F7" s="12"/>
      <c r="G7" s="12"/>
      <c r="H7" s="12"/>
      <c r="I7" s="21"/>
      <c r="J7" s="21"/>
      <c r="K7" s="15" t="str">
        <f aca="false">IF(OR(H7="",E7=""),"",IF(D7="خرید",H7-E7,E7-H7)*I7*J7)</f>
        <v/>
      </c>
      <c r="L7" s="19" t="str">
        <f aca="false">IF(K7="","",IFERROR(K7/(ABS(E7-F7)*I7*J7),""))</f>
        <v/>
      </c>
      <c r="M7" s="26" t="str">
        <f aca="false">IF(K7="","",IF(K7&gt;0,"برد",IF(K7&lt;0,"باخت","سربه‌سر")))</f>
        <v/>
      </c>
      <c r="N7" s="21"/>
      <c r="O7" s="21"/>
      <c r="P7" s="27"/>
      <c r="Q7" s="15" t="str">
        <f aca="false">IF(K7="","",تنظیمات!$B$4+SUM(K$5:K7))</f>
        <v/>
      </c>
      <c r="R7" s="28" t="str">
        <f aca="false">IF(Q7="","",Q7/MAX(تنظیمات!$B$4,MAX(Q$5:Q7))-1)</f>
        <v/>
      </c>
    </row>
    <row r="8" customFormat="false" ht="15" hidden="false" customHeight="false" outlineLevel="0" collapsed="false">
      <c r="A8" s="24" t="n">
        <v>4</v>
      </c>
      <c r="B8" s="25"/>
      <c r="C8" s="21"/>
      <c r="D8" s="21"/>
      <c r="E8" s="12"/>
      <c r="F8" s="12"/>
      <c r="G8" s="12"/>
      <c r="H8" s="12"/>
      <c r="I8" s="21"/>
      <c r="J8" s="21"/>
      <c r="K8" s="15" t="str">
        <f aca="false">IF(OR(H8="",E8=""),"",IF(D8="خرید",H8-E8,E8-H8)*I8*J8)</f>
        <v/>
      </c>
      <c r="L8" s="19" t="str">
        <f aca="false">IF(K8="","",IFERROR(K8/(ABS(E8-F8)*I8*J8),""))</f>
        <v/>
      </c>
      <c r="M8" s="26" t="str">
        <f aca="false">IF(K8="","",IF(K8&gt;0,"برد",IF(K8&lt;0,"باخت","سربه‌سر")))</f>
        <v/>
      </c>
      <c r="N8" s="21"/>
      <c r="O8" s="21"/>
      <c r="P8" s="27"/>
      <c r="Q8" s="15" t="str">
        <f aca="false">IF(K8="","",تنظیمات!$B$4+SUM(K$5:K8))</f>
        <v/>
      </c>
      <c r="R8" s="28" t="str">
        <f aca="false">IF(Q8="","",Q8/MAX(تنظیمات!$B$4,MAX(Q$5:Q8))-1)</f>
        <v/>
      </c>
    </row>
    <row r="9" customFormat="false" ht="15" hidden="false" customHeight="false" outlineLevel="0" collapsed="false">
      <c r="A9" s="24" t="n">
        <v>5</v>
      </c>
      <c r="B9" s="25"/>
      <c r="C9" s="21"/>
      <c r="D9" s="21"/>
      <c r="E9" s="12"/>
      <c r="F9" s="12"/>
      <c r="G9" s="12"/>
      <c r="H9" s="12"/>
      <c r="I9" s="21"/>
      <c r="J9" s="21"/>
      <c r="K9" s="15" t="str">
        <f aca="false">IF(OR(H9="",E9=""),"",IF(D9="خرید",H9-E9,E9-H9)*I9*J9)</f>
        <v/>
      </c>
      <c r="L9" s="19" t="str">
        <f aca="false">IF(K9="","",IFERROR(K9/(ABS(E9-F9)*I9*J9),""))</f>
        <v/>
      </c>
      <c r="M9" s="26" t="str">
        <f aca="false">IF(K9="","",IF(K9&gt;0,"برد",IF(K9&lt;0,"باخت","سربه‌سر")))</f>
        <v/>
      </c>
      <c r="N9" s="21"/>
      <c r="O9" s="21"/>
      <c r="P9" s="27"/>
      <c r="Q9" s="15" t="str">
        <f aca="false">IF(K9="","",تنظیمات!$B$4+SUM(K$5:K9))</f>
        <v/>
      </c>
      <c r="R9" s="28" t="str">
        <f aca="false">IF(Q9="","",Q9/MAX(تنظیمات!$B$4,MAX(Q$5:Q9))-1)</f>
        <v/>
      </c>
    </row>
    <row r="10" customFormat="false" ht="15" hidden="false" customHeight="false" outlineLevel="0" collapsed="false">
      <c r="A10" s="24" t="n">
        <v>6</v>
      </c>
      <c r="B10" s="25"/>
      <c r="C10" s="21"/>
      <c r="D10" s="21"/>
      <c r="E10" s="12"/>
      <c r="F10" s="12"/>
      <c r="G10" s="12"/>
      <c r="H10" s="12"/>
      <c r="I10" s="21"/>
      <c r="J10" s="21"/>
      <c r="K10" s="15" t="str">
        <f aca="false">IF(OR(H10="",E10=""),"",IF(D10="خرید",H10-E10,E10-H10)*I10*J10)</f>
        <v/>
      </c>
      <c r="L10" s="19" t="str">
        <f aca="false">IF(K10="","",IFERROR(K10/(ABS(E10-F10)*I10*J10),""))</f>
        <v/>
      </c>
      <c r="M10" s="26" t="str">
        <f aca="false">IF(K10="","",IF(K10&gt;0,"برد",IF(K10&lt;0,"باخت","سربه‌سر")))</f>
        <v/>
      </c>
      <c r="N10" s="21"/>
      <c r="O10" s="21"/>
      <c r="P10" s="27"/>
      <c r="Q10" s="15" t="str">
        <f aca="false">IF(K10="","",تنظیمات!$B$4+SUM(K$5:K10))</f>
        <v/>
      </c>
      <c r="R10" s="28" t="str">
        <f aca="false">IF(Q10="","",Q10/MAX(تنظیمات!$B$4,MAX(Q$5:Q10))-1)</f>
        <v/>
      </c>
    </row>
    <row r="11" customFormat="false" ht="15" hidden="false" customHeight="false" outlineLevel="0" collapsed="false">
      <c r="A11" s="24" t="n">
        <v>7</v>
      </c>
      <c r="B11" s="25"/>
      <c r="C11" s="21"/>
      <c r="D11" s="21"/>
      <c r="E11" s="12"/>
      <c r="F11" s="12"/>
      <c r="G11" s="12"/>
      <c r="H11" s="12"/>
      <c r="I11" s="21"/>
      <c r="J11" s="21"/>
      <c r="K11" s="15" t="str">
        <f aca="false">IF(OR(H11="",E11=""),"",IF(D11="خرید",H11-E11,E11-H11)*I11*J11)</f>
        <v/>
      </c>
      <c r="L11" s="19" t="str">
        <f aca="false">IF(K11="","",IFERROR(K11/(ABS(E11-F11)*I11*J11),""))</f>
        <v/>
      </c>
      <c r="M11" s="26" t="str">
        <f aca="false">IF(K11="","",IF(K11&gt;0,"برد",IF(K11&lt;0,"باخت","سربه‌سر")))</f>
        <v/>
      </c>
      <c r="N11" s="21"/>
      <c r="O11" s="21"/>
      <c r="P11" s="27"/>
      <c r="Q11" s="15" t="str">
        <f aca="false">IF(K11="","",تنظیمات!$B$4+SUM(K$5:K11))</f>
        <v/>
      </c>
      <c r="R11" s="28" t="str">
        <f aca="false">IF(Q11="","",Q11/MAX(تنظیمات!$B$4,MAX(Q$5:Q11))-1)</f>
        <v/>
      </c>
    </row>
    <row r="12" customFormat="false" ht="15" hidden="false" customHeight="false" outlineLevel="0" collapsed="false">
      <c r="A12" s="24" t="n">
        <v>8</v>
      </c>
      <c r="B12" s="25"/>
      <c r="C12" s="21"/>
      <c r="D12" s="21"/>
      <c r="E12" s="12"/>
      <c r="F12" s="12"/>
      <c r="G12" s="12"/>
      <c r="H12" s="12"/>
      <c r="I12" s="21"/>
      <c r="J12" s="21"/>
      <c r="K12" s="15" t="str">
        <f aca="false">IF(OR(H12="",E12=""),"",IF(D12="خرید",H12-E12,E12-H12)*I12*J12)</f>
        <v/>
      </c>
      <c r="L12" s="19" t="str">
        <f aca="false">IF(K12="","",IFERROR(K12/(ABS(E12-F12)*I12*J12),""))</f>
        <v/>
      </c>
      <c r="M12" s="26" t="str">
        <f aca="false">IF(K12="","",IF(K12&gt;0,"برد",IF(K12&lt;0,"باخت","سربه‌سر")))</f>
        <v/>
      </c>
      <c r="N12" s="21"/>
      <c r="O12" s="21"/>
      <c r="P12" s="27"/>
      <c r="Q12" s="15" t="str">
        <f aca="false">IF(K12="","",تنظیمات!$B$4+SUM(K$5:K12))</f>
        <v/>
      </c>
      <c r="R12" s="28" t="str">
        <f aca="false">IF(Q12="","",Q12/MAX(تنظیمات!$B$4,MAX(Q$5:Q12))-1)</f>
        <v/>
      </c>
    </row>
    <row r="13" customFormat="false" ht="15" hidden="false" customHeight="false" outlineLevel="0" collapsed="false">
      <c r="A13" s="24" t="n">
        <v>9</v>
      </c>
      <c r="B13" s="25"/>
      <c r="C13" s="21"/>
      <c r="D13" s="21"/>
      <c r="E13" s="12"/>
      <c r="F13" s="12"/>
      <c r="G13" s="12"/>
      <c r="H13" s="12"/>
      <c r="I13" s="21"/>
      <c r="J13" s="21"/>
      <c r="K13" s="15" t="str">
        <f aca="false">IF(OR(H13="",E13=""),"",IF(D13="خرید",H13-E13,E13-H13)*I13*J13)</f>
        <v/>
      </c>
      <c r="L13" s="19" t="str">
        <f aca="false">IF(K13="","",IFERROR(K13/(ABS(E13-F13)*I13*J13),""))</f>
        <v/>
      </c>
      <c r="M13" s="26" t="str">
        <f aca="false">IF(K13="","",IF(K13&gt;0,"برد",IF(K13&lt;0,"باخت","سربه‌سر")))</f>
        <v/>
      </c>
      <c r="N13" s="21"/>
      <c r="O13" s="21"/>
      <c r="P13" s="27"/>
      <c r="Q13" s="15" t="str">
        <f aca="false">IF(K13="","",تنظیمات!$B$4+SUM(K$5:K13))</f>
        <v/>
      </c>
      <c r="R13" s="28" t="str">
        <f aca="false">IF(Q13="","",Q13/MAX(تنظیمات!$B$4,MAX(Q$5:Q13))-1)</f>
        <v/>
      </c>
    </row>
    <row r="14" customFormat="false" ht="15" hidden="false" customHeight="false" outlineLevel="0" collapsed="false">
      <c r="A14" s="24" t="n">
        <v>10</v>
      </c>
      <c r="B14" s="25"/>
      <c r="C14" s="21"/>
      <c r="D14" s="21"/>
      <c r="E14" s="12"/>
      <c r="F14" s="12"/>
      <c r="G14" s="12"/>
      <c r="H14" s="12"/>
      <c r="I14" s="21"/>
      <c r="J14" s="21"/>
      <c r="K14" s="15" t="str">
        <f aca="false">IF(OR(H14="",E14=""),"",IF(D14="خرید",H14-E14,E14-H14)*I14*J14)</f>
        <v/>
      </c>
      <c r="L14" s="19" t="str">
        <f aca="false">IF(K14="","",IFERROR(K14/(ABS(E14-F14)*I14*J14),""))</f>
        <v/>
      </c>
      <c r="M14" s="26" t="str">
        <f aca="false">IF(K14="","",IF(K14&gt;0,"برد",IF(K14&lt;0,"باخت","سربه‌سر")))</f>
        <v/>
      </c>
      <c r="N14" s="21"/>
      <c r="O14" s="21"/>
      <c r="P14" s="27"/>
      <c r="Q14" s="15" t="str">
        <f aca="false">IF(K14="","",تنظیمات!$B$4+SUM(K$5:K14))</f>
        <v/>
      </c>
      <c r="R14" s="28" t="str">
        <f aca="false">IF(Q14="","",Q14/MAX(تنظیمات!$B$4,MAX(Q$5:Q14))-1)</f>
        <v/>
      </c>
    </row>
    <row r="15" customFormat="false" ht="15" hidden="false" customHeight="false" outlineLevel="0" collapsed="false">
      <c r="A15" s="24" t="n">
        <v>11</v>
      </c>
      <c r="B15" s="25"/>
      <c r="C15" s="21"/>
      <c r="D15" s="21"/>
      <c r="E15" s="12"/>
      <c r="F15" s="12"/>
      <c r="G15" s="12"/>
      <c r="H15" s="12"/>
      <c r="I15" s="21"/>
      <c r="J15" s="21"/>
      <c r="K15" s="15" t="str">
        <f aca="false">IF(OR(H15="",E15=""),"",IF(D15="خرید",H15-E15,E15-H15)*I15*J15)</f>
        <v/>
      </c>
      <c r="L15" s="19" t="str">
        <f aca="false">IF(K15="","",IFERROR(K15/(ABS(E15-F15)*I15*J15),""))</f>
        <v/>
      </c>
      <c r="M15" s="26" t="str">
        <f aca="false">IF(K15="","",IF(K15&gt;0,"برد",IF(K15&lt;0,"باخت","سربه‌سر")))</f>
        <v/>
      </c>
      <c r="N15" s="21"/>
      <c r="O15" s="21"/>
      <c r="P15" s="27"/>
      <c r="Q15" s="15" t="str">
        <f aca="false">IF(K15="","",تنظیمات!$B$4+SUM(K$5:K15))</f>
        <v/>
      </c>
      <c r="R15" s="28" t="str">
        <f aca="false">IF(Q15="","",Q15/MAX(تنظیمات!$B$4,MAX(Q$5:Q15))-1)</f>
        <v/>
      </c>
    </row>
    <row r="16" customFormat="false" ht="15" hidden="false" customHeight="false" outlineLevel="0" collapsed="false">
      <c r="A16" s="24" t="n">
        <v>12</v>
      </c>
      <c r="B16" s="25"/>
      <c r="C16" s="21"/>
      <c r="D16" s="21"/>
      <c r="E16" s="12"/>
      <c r="F16" s="12"/>
      <c r="G16" s="12"/>
      <c r="H16" s="12"/>
      <c r="I16" s="21"/>
      <c r="J16" s="21"/>
      <c r="K16" s="15" t="str">
        <f aca="false">IF(OR(H16="",E16=""),"",IF(D16="خرید",H16-E16,E16-H16)*I16*J16)</f>
        <v/>
      </c>
      <c r="L16" s="19" t="str">
        <f aca="false">IF(K16="","",IFERROR(K16/(ABS(E16-F16)*I16*J16),""))</f>
        <v/>
      </c>
      <c r="M16" s="26" t="str">
        <f aca="false">IF(K16="","",IF(K16&gt;0,"برد",IF(K16&lt;0,"باخت","سربه‌سر")))</f>
        <v/>
      </c>
      <c r="N16" s="21"/>
      <c r="O16" s="21"/>
      <c r="P16" s="27"/>
      <c r="Q16" s="15" t="str">
        <f aca="false">IF(K16="","",تنظیمات!$B$4+SUM(K$5:K16))</f>
        <v/>
      </c>
      <c r="R16" s="28" t="str">
        <f aca="false">IF(Q16="","",Q16/MAX(تنظیمات!$B$4,MAX(Q$5:Q16))-1)</f>
        <v/>
      </c>
    </row>
    <row r="17" customFormat="false" ht="15" hidden="false" customHeight="false" outlineLevel="0" collapsed="false">
      <c r="A17" s="24" t="n">
        <v>13</v>
      </c>
      <c r="B17" s="25"/>
      <c r="C17" s="21"/>
      <c r="D17" s="21"/>
      <c r="E17" s="12"/>
      <c r="F17" s="12"/>
      <c r="G17" s="12"/>
      <c r="H17" s="12"/>
      <c r="I17" s="21"/>
      <c r="J17" s="21"/>
      <c r="K17" s="15" t="str">
        <f aca="false">IF(OR(H17="",E17=""),"",IF(D17="خرید",H17-E17,E17-H17)*I17*J17)</f>
        <v/>
      </c>
      <c r="L17" s="19" t="str">
        <f aca="false">IF(K17="","",IFERROR(K17/(ABS(E17-F17)*I17*J17),""))</f>
        <v/>
      </c>
      <c r="M17" s="26" t="str">
        <f aca="false">IF(K17="","",IF(K17&gt;0,"برد",IF(K17&lt;0,"باخت","سربه‌سر")))</f>
        <v/>
      </c>
      <c r="N17" s="21"/>
      <c r="O17" s="21"/>
      <c r="P17" s="27"/>
      <c r="Q17" s="15" t="str">
        <f aca="false">IF(K17="","",تنظیمات!$B$4+SUM(K$5:K17))</f>
        <v/>
      </c>
      <c r="R17" s="28" t="str">
        <f aca="false">IF(Q17="","",Q17/MAX(تنظیمات!$B$4,MAX(Q$5:Q17))-1)</f>
        <v/>
      </c>
    </row>
    <row r="18" customFormat="false" ht="15" hidden="false" customHeight="false" outlineLevel="0" collapsed="false">
      <c r="A18" s="24" t="n">
        <v>14</v>
      </c>
      <c r="B18" s="25"/>
      <c r="C18" s="21"/>
      <c r="D18" s="21"/>
      <c r="E18" s="12"/>
      <c r="F18" s="12"/>
      <c r="G18" s="12"/>
      <c r="H18" s="12"/>
      <c r="I18" s="21"/>
      <c r="J18" s="21"/>
      <c r="K18" s="15" t="str">
        <f aca="false">IF(OR(H18="",E18=""),"",IF(D18="خرید",H18-E18,E18-H18)*I18*J18)</f>
        <v/>
      </c>
      <c r="L18" s="19" t="str">
        <f aca="false">IF(K18="","",IFERROR(K18/(ABS(E18-F18)*I18*J18),""))</f>
        <v/>
      </c>
      <c r="M18" s="26" t="str">
        <f aca="false">IF(K18="","",IF(K18&gt;0,"برد",IF(K18&lt;0,"باخت","سربه‌سر")))</f>
        <v/>
      </c>
      <c r="N18" s="21"/>
      <c r="O18" s="21"/>
      <c r="P18" s="27"/>
      <c r="Q18" s="15" t="str">
        <f aca="false">IF(K18="","",تنظیمات!$B$4+SUM(K$5:K18))</f>
        <v/>
      </c>
      <c r="R18" s="28" t="str">
        <f aca="false">IF(Q18="","",Q18/MAX(تنظیمات!$B$4,MAX(Q$5:Q18))-1)</f>
        <v/>
      </c>
    </row>
    <row r="19" customFormat="false" ht="15" hidden="false" customHeight="false" outlineLevel="0" collapsed="false">
      <c r="A19" s="24" t="n">
        <v>15</v>
      </c>
      <c r="B19" s="25"/>
      <c r="C19" s="21"/>
      <c r="D19" s="21"/>
      <c r="E19" s="12"/>
      <c r="F19" s="12"/>
      <c r="G19" s="12"/>
      <c r="H19" s="12"/>
      <c r="I19" s="21"/>
      <c r="J19" s="21"/>
      <c r="K19" s="15" t="str">
        <f aca="false">IF(OR(H19="",E19=""),"",IF(D19="خرید",H19-E19,E19-H19)*I19*J19)</f>
        <v/>
      </c>
      <c r="L19" s="19" t="str">
        <f aca="false">IF(K19="","",IFERROR(K19/(ABS(E19-F19)*I19*J19),""))</f>
        <v/>
      </c>
      <c r="M19" s="26" t="str">
        <f aca="false">IF(K19="","",IF(K19&gt;0,"برد",IF(K19&lt;0,"باخت","سربه‌سر")))</f>
        <v/>
      </c>
      <c r="N19" s="21"/>
      <c r="O19" s="21"/>
      <c r="P19" s="27"/>
      <c r="Q19" s="15" t="str">
        <f aca="false">IF(K19="","",تنظیمات!$B$4+SUM(K$5:K19))</f>
        <v/>
      </c>
      <c r="R19" s="28" t="str">
        <f aca="false">IF(Q19="","",Q19/MAX(تنظیمات!$B$4,MAX(Q$5:Q19))-1)</f>
        <v/>
      </c>
    </row>
    <row r="20" customFormat="false" ht="15" hidden="false" customHeight="false" outlineLevel="0" collapsed="false">
      <c r="A20" s="24" t="n">
        <v>16</v>
      </c>
      <c r="B20" s="25"/>
      <c r="C20" s="21"/>
      <c r="D20" s="21"/>
      <c r="E20" s="12"/>
      <c r="F20" s="12"/>
      <c r="G20" s="12"/>
      <c r="H20" s="12"/>
      <c r="I20" s="21"/>
      <c r="J20" s="21"/>
      <c r="K20" s="15" t="str">
        <f aca="false">IF(OR(H20="",E20=""),"",IF(D20="خرید",H20-E20,E20-H20)*I20*J20)</f>
        <v/>
      </c>
      <c r="L20" s="19" t="str">
        <f aca="false">IF(K20="","",IFERROR(K20/(ABS(E20-F20)*I20*J20),""))</f>
        <v/>
      </c>
      <c r="M20" s="26" t="str">
        <f aca="false">IF(K20="","",IF(K20&gt;0,"برد",IF(K20&lt;0,"باخت","سربه‌سر")))</f>
        <v/>
      </c>
      <c r="N20" s="21"/>
      <c r="O20" s="21"/>
      <c r="P20" s="27"/>
      <c r="Q20" s="15" t="str">
        <f aca="false">IF(K20="","",تنظیمات!$B$4+SUM(K$5:K20))</f>
        <v/>
      </c>
      <c r="R20" s="28" t="str">
        <f aca="false">IF(Q20="","",Q20/MAX(تنظیمات!$B$4,MAX(Q$5:Q20))-1)</f>
        <v/>
      </c>
    </row>
    <row r="21" customFormat="false" ht="15" hidden="false" customHeight="false" outlineLevel="0" collapsed="false">
      <c r="A21" s="24" t="n">
        <v>17</v>
      </c>
      <c r="B21" s="25"/>
      <c r="C21" s="21"/>
      <c r="D21" s="21"/>
      <c r="E21" s="12"/>
      <c r="F21" s="12"/>
      <c r="G21" s="12"/>
      <c r="H21" s="12"/>
      <c r="I21" s="21"/>
      <c r="J21" s="21"/>
      <c r="K21" s="15" t="str">
        <f aca="false">IF(OR(H21="",E21=""),"",IF(D21="خرید",H21-E21,E21-H21)*I21*J21)</f>
        <v/>
      </c>
      <c r="L21" s="19" t="str">
        <f aca="false">IF(K21="","",IFERROR(K21/(ABS(E21-F21)*I21*J21),""))</f>
        <v/>
      </c>
      <c r="M21" s="26" t="str">
        <f aca="false">IF(K21="","",IF(K21&gt;0,"برد",IF(K21&lt;0,"باخت","سربه‌سر")))</f>
        <v/>
      </c>
      <c r="N21" s="21"/>
      <c r="O21" s="21"/>
      <c r="P21" s="27"/>
      <c r="Q21" s="15" t="str">
        <f aca="false">IF(K21="","",تنظیمات!$B$4+SUM(K$5:K21))</f>
        <v/>
      </c>
      <c r="R21" s="28" t="str">
        <f aca="false">IF(Q21="","",Q21/MAX(تنظیمات!$B$4,MAX(Q$5:Q21))-1)</f>
        <v/>
      </c>
    </row>
    <row r="22" customFormat="false" ht="15" hidden="false" customHeight="false" outlineLevel="0" collapsed="false">
      <c r="A22" s="24" t="n">
        <v>18</v>
      </c>
      <c r="B22" s="25"/>
      <c r="C22" s="21"/>
      <c r="D22" s="21"/>
      <c r="E22" s="12"/>
      <c r="F22" s="12"/>
      <c r="G22" s="12"/>
      <c r="H22" s="12"/>
      <c r="I22" s="21"/>
      <c r="J22" s="21"/>
      <c r="K22" s="15" t="str">
        <f aca="false">IF(OR(H22="",E22=""),"",IF(D22="خرید",H22-E22,E22-H22)*I22*J22)</f>
        <v/>
      </c>
      <c r="L22" s="19" t="str">
        <f aca="false">IF(K22="","",IFERROR(K22/(ABS(E22-F22)*I22*J22),""))</f>
        <v/>
      </c>
      <c r="M22" s="26" t="str">
        <f aca="false">IF(K22="","",IF(K22&gt;0,"برد",IF(K22&lt;0,"باخت","سربه‌سر")))</f>
        <v/>
      </c>
      <c r="N22" s="21"/>
      <c r="O22" s="21"/>
      <c r="P22" s="27"/>
      <c r="Q22" s="15" t="str">
        <f aca="false">IF(K22="","",تنظیمات!$B$4+SUM(K$5:K22))</f>
        <v/>
      </c>
      <c r="R22" s="28" t="str">
        <f aca="false">IF(Q22="","",Q22/MAX(تنظیمات!$B$4,MAX(Q$5:Q22))-1)</f>
        <v/>
      </c>
    </row>
    <row r="23" customFormat="false" ht="15" hidden="false" customHeight="false" outlineLevel="0" collapsed="false">
      <c r="A23" s="24" t="n">
        <v>19</v>
      </c>
      <c r="B23" s="25"/>
      <c r="C23" s="21"/>
      <c r="D23" s="21"/>
      <c r="E23" s="12"/>
      <c r="F23" s="12"/>
      <c r="G23" s="12"/>
      <c r="H23" s="12"/>
      <c r="I23" s="21"/>
      <c r="J23" s="21"/>
      <c r="K23" s="15" t="str">
        <f aca="false">IF(OR(H23="",E23=""),"",IF(D23="خرید",H23-E23,E23-H23)*I23*J23)</f>
        <v/>
      </c>
      <c r="L23" s="19" t="str">
        <f aca="false">IF(K23="","",IFERROR(K23/(ABS(E23-F23)*I23*J23),""))</f>
        <v/>
      </c>
      <c r="M23" s="26" t="str">
        <f aca="false">IF(K23="","",IF(K23&gt;0,"برد",IF(K23&lt;0,"باخت","سربه‌سر")))</f>
        <v/>
      </c>
      <c r="N23" s="21"/>
      <c r="O23" s="21"/>
      <c r="P23" s="27"/>
      <c r="Q23" s="15" t="str">
        <f aca="false">IF(K23="","",تنظیمات!$B$4+SUM(K$5:K23))</f>
        <v/>
      </c>
      <c r="R23" s="28" t="str">
        <f aca="false">IF(Q23="","",Q23/MAX(تنظیمات!$B$4,MAX(Q$5:Q23))-1)</f>
        <v/>
      </c>
    </row>
    <row r="24" customFormat="false" ht="15" hidden="false" customHeight="false" outlineLevel="0" collapsed="false">
      <c r="A24" s="24" t="n">
        <v>20</v>
      </c>
      <c r="B24" s="25"/>
      <c r="C24" s="21"/>
      <c r="D24" s="21"/>
      <c r="E24" s="12"/>
      <c r="F24" s="12"/>
      <c r="G24" s="12"/>
      <c r="H24" s="12"/>
      <c r="I24" s="21"/>
      <c r="J24" s="21"/>
      <c r="K24" s="15" t="str">
        <f aca="false">IF(OR(H24="",E24=""),"",IF(D24="خرید",H24-E24,E24-H24)*I24*J24)</f>
        <v/>
      </c>
      <c r="L24" s="19" t="str">
        <f aca="false">IF(K24="","",IFERROR(K24/(ABS(E24-F24)*I24*J24),""))</f>
        <v/>
      </c>
      <c r="M24" s="26" t="str">
        <f aca="false">IF(K24="","",IF(K24&gt;0,"برد",IF(K24&lt;0,"باخت","سربه‌سر")))</f>
        <v/>
      </c>
      <c r="N24" s="21"/>
      <c r="O24" s="21"/>
      <c r="P24" s="27"/>
      <c r="Q24" s="15" t="str">
        <f aca="false">IF(K24="","",تنظیمات!$B$4+SUM(K$5:K24))</f>
        <v/>
      </c>
      <c r="R24" s="28" t="str">
        <f aca="false">IF(Q24="","",Q24/MAX(تنظیمات!$B$4,MAX(Q$5:Q24))-1)</f>
        <v/>
      </c>
    </row>
  </sheetData>
  <mergeCells count="2">
    <mergeCell ref="A1:R1"/>
    <mergeCell ref="A2:R2"/>
  </mergeCells>
  <dataValidations count="3">
    <dataValidation allowBlank="true" errorStyle="stop" operator="between" showDropDown="false" showErrorMessage="false" showInputMessage="false" sqref="D5:D24" type="list">
      <formula1>"خرید,فروش"</formula1>
      <formula2>0</formula2>
    </dataValidation>
    <dataValidation allowBlank="true" errorStyle="stop" operator="between" showDropDown="false" showErrorMessage="false" showInputMessage="false" sqref="N5:N24" type="list">
      <formula1>"آرام,مضطرب,هیجان‌زده,انتقامی,خسته,FOMO"</formula1>
      <formula2>0</formula2>
    </dataValidation>
    <dataValidation allowBlank="true" errorStyle="stop" operator="between" showDropDown="false" showErrorMessage="false" showInputMessage="false" sqref="O5:O24" type="list">
      <formula1>"بله,خیر"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11" min="9" style="0" width="12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9" t="s">
        <v>81</v>
      </c>
      <c r="B2" s="29"/>
      <c r="C2" s="29"/>
      <c r="D2" s="30" t="n">
        <v>0.0088</v>
      </c>
      <c r="E2" s="31" t="s">
        <v>82</v>
      </c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A3" s="29" t="s">
        <v>83</v>
      </c>
      <c r="B3" s="29"/>
      <c r="C3" s="29"/>
      <c r="D3" s="32" t="n">
        <v>19899409</v>
      </c>
      <c r="E3" s="31" t="s">
        <v>84</v>
      </c>
      <c r="F3" s="31"/>
      <c r="G3" s="31"/>
      <c r="H3" s="31"/>
      <c r="I3" s="31"/>
      <c r="J3" s="31"/>
      <c r="K3" s="31"/>
      <c r="L3" s="31"/>
    </row>
    <row r="4" customFormat="false" ht="15" hidden="false" customHeight="false" outlineLevel="0" collapsed="false">
      <c r="A4" s="29" t="s">
        <v>85</v>
      </c>
      <c r="B4" s="29"/>
      <c r="C4" s="29"/>
      <c r="D4" s="33" t="n">
        <v>0.25</v>
      </c>
      <c r="E4" s="31" t="s">
        <v>86</v>
      </c>
      <c r="F4" s="31"/>
      <c r="G4" s="31"/>
      <c r="H4" s="31"/>
      <c r="I4" s="31"/>
      <c r="J4" s="31"/>
      <c r="K4" s="31"/>
      <c r="L4" s="31"/>
    </row>
    <row r="5" customFormat="false" ht="33.75" hidden="false" customHeight="true" outlineLevel="0" collapsed="false">
      <c r="A5" s="4" t="s">
        <v>63</v>
      </c>
      <c r="B5" s="4" t="s">
        <v>87</v>
      </c>
      <c r="C5" s="4" t="s">
        <v>88</v>
      </c>
      <c r="D5" s="4" t="s">
        <v>89</v>
      </c>
      <c r="E5" s="4" t="s">
        <v>90</v>
      </c>
      <c r="F5" s="4" t="s">
        <v>91</v>
      </c>
      <c r="G5" s="4" t="s">
        <v>92</v>
      </c>
      <c r="H5" s="4" t="s">
        <v>68</v>
      </c>
      <c r="I5" s="4" t="s">
        <v>93</v>
      </c>
      <c r="J5" s="4" t="s">
        <v>94</v>
      </c>
      <c r="K5" s="4" t="s">
        <v>95</v>
      </c>
      <c r="L5" s="4" t="s">
        <v>96</v>
      </c>
    </row>
    <row r="6" customFormat="false" ht="15" hidden="false" customHeight="false" outlineLevel="0" collapsed="false">
      <c r="A6" s="21" t="s">
        <v>97</v>
      </c>
      <c r="B6" s="32" t="n">
        <v>1000</v>
      </c>
      <c r="C6" s="32" t="n">
        <v>10000</v>
      </c>
      <c r="D6" s="32" t="n">
        <v>12000</v>
      </c>
      <c r="E6" s="32" t="n">
        <v>11900</v>
      </c>
      <c r="F6" s="34" t="n">
        <f aca="false">IF(OR(B6="",D6=""),"",B6*D6*(1-$D$2))</f>
        <v>11894400</v>
      </c>
      <c r="G6" s="34" t="n">
        <f aca="false">IF(OR(B6="",C6=""),"",B6*C6)</f>
        <v>10000000</v>
      </c>
      <c r="H6" s="35" t="n">
        <f aca="false">IF(OR(F6="",G6=""),"",F6-G6)</f>
        <v>1894400</v>
      </c>
      <c r="I6" s="36" t="n">
        <f aca="false">IF(OR(H6="",G6="",G6=0),"",H6/G6)</f>
        <v>0.18944</v>
      </c>
      <c r="J6" s="36" t="n">
        <f aca="false">IF(OR(D6="",E6="",E6=0),"",D6/E6-1)</f>
        <v>0.00840336134453779</v>
      </c>
      <c r="K6" s="37" t="n">
        <f aca="false">IF(OR(F6="",$F$22=0),"",F6/$F$22)</f>
        <v>0.292682926829268</v>
      </c>
      <c r="L6" s="26" t="str">
        <f aca="false">IF(K6="","",IF(K6&gt;$D$4,"⚠️ تمرکز بالا",""))</f>
        <v>⚠️ تمرکز بالا</v>
      </c>
    </row>
    <row r="7" customFormat="false" ht="26.85" hidden="false" customHeight="false" outlineLevel="0" collapsed="false">
      <c r="A7" s="21" t="s">
        <v>98</v>
      </c>
      <c r="B7" s="32" t="n">
        <v>500</v>
      </c>
      <c r="C7" s="32" t="n">
        <v>25000</v>
      </c>
      <c r="D7" s="32" t="n">
        <v>22000</v>
      </c>
      <c r="E7" s="32" t="n">
        <v>22500</v>
      </c>
      <c r="F7" s="34" t="n">
        <f aca="false">IF(OR(B7="",D7=""),"",B7*D7*(1-$D$2))</f>
        <v>10903200</v>
      </c>
      <c r="G7" s="34" t="n">
        <f aca="false">IF(OR(B7="",C7=""),"",B7*C7)</f>
        <v>12500000</v>
      </c>
      <c r="H7" s="35" t="n">
        <f aca="false">IF(OR(F7="",G7=""),"",F7-G7)</f>
        <v>-1596800</v>
      </c>
      <c r="I7" s="36" t="n">
        <f aca="false">IF(OR(H7="",G7="",G7=0),"",H7/G7)</f>
        <v>-0.127744</v>
      </c>
      <c r="J7" s="36" t="n">
        <f aca="false">IF(OR(D7="",E7="",E7=0),"",D7/E7-1)</f>
        <v>-0.0222222222222223</v>
      </c>
      <c r="K7" s="37" t="n">
        <f aca="false">IF(OR(F7="",$F$22=0),"",F7/$F$22)</f>
        <v>0.268292682926829</v>
      </c>
      <c r="L7" s="26" t="str">
        <f aca="false">IF(K7="","",IF(K7&gt;$D$4,"⚠️ تمرکز بالا",""))</f>
        <v>⚠️ تمرکز بالا</v>
      </c>
    </row>
    <row r="8" customFormat="false" ht="15" hidden="false" customHeight="false" outlineLevel="0" collapsed="false">
      <c r="A8" s="21" t="s">
        <v>99</v>
      </c>
      <c r="B8" s="32" t="n">
        <v>200</v>
      </c>
      <c r="C8" s="32" t="n">
        <v>80000</v>
      </c>
      <c r="D8" s="32" t="n">
        <v>90000</v>
      </c>
      <c r="E8" s="32" t="n">
        <v>90000</v>
      </c>
      <c r="F8" s="34" t="n">
        <f aca="false">IF(OR(B8="",D8=""),"",B8*D8*(1-$D$2))</f>
        <v>17841600</v>
      </c>
      <c r="G8" s="34" t="n">
        <f aca="false">IF(OR(B8="",C8=""),"",B8*C8)</f>
        <v>16000000</v>
      </c>
      <c r="H8" s="35" t="n">
        <f aca="false">IF(OR(F8="",G8=""),"",F8-G8)</f>
        <v>1841600</v>
      </c>
      <c r="I8" s="36" t="n">
        <f aca="false">IF(OR(H8="",G8="",G8=0),"",H8/G8)</f>
        <v>0.1151</v>
      </c>
      <c r="J8" s="36" t="n">
        <f aca="false">IF(OR(D8="",E8="",E8=0),"",D8/E8-1)</f>
        <v>0</v>
      </c>
      <c r="K8" s="37" t="n">
        <f aca="false">IF(OR(F8="",$F$22=0),"",F8/$F$22)</f>
        <v>0.439024390243902</v>
      </c>
      <c r="L8" s="26" t="str">
        <f aca="false">IF(K8="","",IF(K8&gt;$D$4,"⚠️ تمرکز بالا",""))</f>
        <v>⚠️ تمرکز بالا</v>
      </c>
    </row>
    <row r="9" customFormat="false" ht="15" hidden="false" customHeight="false" outlineLevel="0" collapsed="false">
      <c r="A9" s="21"/>
      <c r="B9" s="32"/>
      <c r="C9" s="32"/>
      <c r="D9" s="32"/>
      <c r="E9" s="32"/>
      <c r="F9" s="34" t="str">
        <f aca="false">IF(OR(B9="",D9=""),"",B9*D9*(1-$D$2))</f>
        <v/>
      </c>
      <c r="G9" s="34" t="str">
        <f aca="false">IF(OR(B9="",C9=""),"",B9*C9)</f>
        <v/>
      </c>
      <c r="H9" s="35" t="str">
        <f aca="false">IF(OR(F9="",G9=""),"",F9-G9)</f>
        <v/>
      </c>
      <c r="I9" s="36" t="str">
        <f aca="false">IF(OR(H9="",G9="",G9=0),"",H9/G9)</f>
        <v/>
      </c>
      <c r="J9" s="36" t="str">
        <f aca="false">IF(OR(D9="",E9="",E9=0),"",D9/E9-1)</f>
        <v/>
      </c>
      <c r="K9" s="37" t="str">
        <f aca="false">IF(OR(F9="",$F$22=0),"",F9/$F$22)</f>
        <v/>
      </c>
      <c r="L9" s="26" t="str">
        <f aca="false">IF(K9="","",IF(K9&gt;$D$4,"⚠️ تمرکز بالا",""))</f>
        <v/>
      </c>
    </row>
    <row r="10" customFormat="false" ht="15" hidden="false" customHeight="false" outlineLevel="0" collapsed="false">
      <c r="A10" s="21"/>
      <c r="B10" s="32"/>
      <c r="C10" s="32"/>
      <c r="D10" s="32"/>
      <c r="E10" s="32"/>
      <c r="F10" s="34" t="str">
        <f aca="false">IF(OR(B10="",D10=""),"",B10*D10*(1-$D$2))</f>
        <v/>
      </c>
      <c r="G10" s="34" t="str">
        <f aca="false">IF(OR(B10="",C10=""),"",B10*C10)</f>
        <v/>
      </c>
      <c r="H10" s="35" t="str">
        <f aca="false">IF(OR(F10="",G10=""),"",F10-G10)</f>
        <v/>
      </c>
      <c r="I10" s="36" t="str">
        <f aca="false">IF(OR(H10="",G10="",G10=0),"",H10/G10)</f>
        <v/>
      </c>
      <c r="J10" s="36" t="str">
        <f aca="false">IF(OR(D10="",E10="",E10=0),"",D10/E10-1)</f>
        <v/>
      </c>
      <c r="K10" s="37" t="str">
        <f aca="false">IF(OR(F10="",$F$22=0),"",F10/$F$22)</f>
        <v/>
      </c>
      <c r="L10" s="26" t="str">
        <f aca="false">IF(K10="","",IF(K10&gt;$D$4,"⚠️ تمرکز بالا",""))</f>
        <v/>
      </c>
    </row>
    <row r="11" customFormat="false" ht="15" hidden="false" customHeight="false" outlineLevel="0" collapsed="false">
      <c r="A11" s="21"/>
      <c r="B11" s="32"/>
      <c r="C11" s="32"/>
      <c r="D11" s="32"/>
      <c r="E11" s="32"/>
      <c r="F11" s="34" t="str">
        <f aca="false">IF(OR(B11="",D11=""),"",B11*D11*(1-$D$2))</f>
        <v/>
      </c>
      <c r="G11" s="34" t="str">
        <f aca="false">IF(OR(B11="",C11=""),"",B11*C11)</f>
        <v/>
      </c>
      <c r="H11" s="35" t="str">
        <f aca="false">IF(OR(F11="",G11=""),"",F11-G11)</f>
        <v/>
      </c>
      <c r="I11" s="36" t="str">
        <f aca="false">IF(OR(H11="",G11="",G11=0),"",H11/G11)</f>
        <v/>
      </c>
      <c r="J11" s="36" t="str">
        <f aca="false">IF(OR(D11="",E11="",E11=0),"",D11/E11-1)</f>
        <v/>
      </c>
      <c r="K11" s="37" t="str">
        <f aca="false">IF(OR(F11="",$F$22=0),"",F11/$F$22)</f>
        <v/>
      </c>
      <c r="L11" s="26" t="str">
        <f aca="false">IF(K11="","",IF(K11&gt;$D$4,"⚠️ تمرکز بالا",""))</f>
        <v/>
      </c>
    </row>
    <row r="12" customFormat="false" ht="15" hidden="false" customHeight="false" outlineLevel="0" collapsed="false">
      <c r="A12" s="21"/>
      <c r="B12" s="32"/>
      <c r="C12" s="32"/>
      <c r="D12" s="32"/>
      <c r="E12" s="32"/>
      <c r="F12" s="34" t="str">
        <f aca="false">IF(OR(B12="",D12=""),"",B12*D12*(1-$D$2))</f>
        <v/>
      </c>
      <c r="G12" s="34" t="str">
        <f aca="false">IF(OR(B12="",C12=""),"",B12*C12)</f>
        <v/>
      </c>
      <c r="H12" s="35" t="str">
        <f aca="false">IF(OR(F12="",G12=""),"",F12-G12)</f>
        <v/>
      </c>
      <c r="I12" s="36" t="str">
        <f aca="false">IF(OR(H12="",G12="",G12=0),"",H12/G12)</f>
        <v/>
      </c>
      <c r="J12" s="36" t="str">
        <f aca="false">IF(OR(D12="",E12="",E12=0),"",D12/E12-1)</f>
        <v/>
      </c>
      <c r="K12" s="37" t="str">
        <f aca="false">IF(OR(F12="",$F$22=0),"",F12/$F$22)</f>
        <v/>
      </c>
      <c r="L12" s="26" t="str">
        <f aca="false">IF(K12="","",IF(K12&gt;$D$4,"⚠️ تمرکز بالا",""))</f>
        <v/>
      </c>
    </row>
    <row r="13" customFormat="false" ht="15" hidden="false" customHeight="false" outlineLevel="0" collapsed="false">
      <c r="A13" s="21"/>
      <c r="B13" s="32"/>
      <c r="C13" s="32"/>
      <c r="D13" s="32"/>
      <c r="E13" s="32"/>
      <c r="F13" s="34" t="str">
        <f aca="false">IF(OR(B13="",D13=""),"",B13*D13*(1-$D$2))</f>
        <v/>
      </c>
      <c r="G13" s="34" t="str">
        <f aca="false">IF(OR(B13="",C13=""),"",B13*C13)</f>
        <v/>
      </c>
      <c r="H13" s="35" t="str">
        <f aca="false">IF(OR(F13="",G13=""),"",F13-G13)</f>
        <v/>
      </c>
      <c r="I13" s="36" t="str">
        <f aca="false">IF(OR(H13="",G13="",G13=0),"",H13/G13)</f>
        <v/>
      </c>
      <c r="J13" s="36" t="str">
        <f aca="false">IF(OR(D13="",E13="",E13=0),"",D13/E13-1)</f>
        <v/>
      </c>
      <c r="K13" s="37" t="str">
        <f aca="false">IF(OR(F13="",$F$22=0),"",F13/$F$22)</f>
        <v/>
      </c>
      <c r="L13" s="26" t="str">
        <f aca="false">IF(K13="","",IF(K13&gt;$D$4,"⚠️ تمرکز بالا",""))</f>
        <v/>
      </c>
    </row>
    <row r="14" customFormat="false" ht="15" hidden="false" customHeight="false" outlineLevel="0" collapsed="false">
      <c r="A14" s="21"/>
      <c r="B14" s="32"/>
      <c r="C14" s="32"/>
      <c r="D14" s="32"/>
      <c r="E14" s="32"/>
      <c r="F14" s="34" t="str">
        <f aca="false">IF(OR(B14="",D14=""),"",B14*D14*(1-$D$2))</f>
        <v/>
      </c>
      <c r="G14" s="34" t="str">
        <f aca="false">IF(OR(B14="",C14=""),"",B14*C14)</f>
        <v/>
      </c>
      <c r="H14" s="35" t="str">
        <f aca="false">IF(OR(F14="",G14=""),"",F14-G14)</f>
        <v/>
      </c>
      <c r="I14" s="36" t="str">
        <f aca="false">IF(OR(H14="",G14="",G14=0),"",H14/G14)</f>
        <v/>
      </c>
      <c r="J14" s="36" t="str">
        <f aca="false">IF(OR(D14="",E14="",E14=0),"",D14/E14-1)</f>
        <v/>
      </c>
      <c r="K14" s="37" t="str">
        <f aca="false">IF(OR(F14="",$F$22=0),"",F14/$F$22)</f>
        <v/>
      </c>
      <c r="L14" s="26" t="str">
        <f aca="false">IF(K14="","",IF(K14&gt;$D$4,"⚠️ تمرکز بالا",""))</f>
        <v/>
      </c>
    </row>
    <row r="15" customFormat="false" ht="15" hidden="false" customHeight="false" outlineLevel="0" collapsed="false">
      <c r="A15" s="21"/>
      <c r="B15" s="32"/>
      <c r="C15" s="32"/>
      <c r="D15" s="32"/>
      <c r="E15" s="32"/>
      <c r="F15" s="34" t="str">
        <f aca="false">IF(OR(B15="",D15=""),"",B15*D15*(1-$D$2))</f>
        <v/>
      </c>
      <c r="G15" s="34" t="str">
        <f aca="false">IF(OR(B15="",C15=""),"",B15*C15)</f>
        <v/>
      </c>
      <c r="H15" s="35" t="str">
        <f aca="false">IF(OR(F15="",G15=""),"",F15-G15)</f>
        <v/>
      </c>
      <c r="I15" s="36" t="str">
        <f aca="false">IF(OR(H15="",G15="",G15=0),"",H15/G15)</f>
        <v/>
      </c>
      <c r="J15" s="36" t="str">
        <f aca="false">IF(OR(D15="",E15="",E15=0),"",D15/E15-1)</f>
        <v/>
      </c>
      <c r="K15" s="37" t="str">
        <f aca="false">IF(OR(F15="",$F$22=0),"",F15/$F$22)</f>
        <v/>
      </c>
      <c r="L15" s="26" t="str">
        <f aca="false">IF(K15="","",IF(K15&gt;$D$4,"⚠️ تمرکز بالا",""))</f>
        <v/>
      </c>
    </row>
    <row r="16" customFormat="false" ht="15" hidden="false" customHeight="false" outlineLevel="0" collapsed="false">
      <c r="A16" s="21"/>
      <c r="B16" s="32"/>
      <c r="C16" s="32"/>
      <c r="D16" s="32"/>
      <c r="E16" s="32"/>
      <c r="F16" s="34" t="str">
        <f aca="false">IF(OR(B16="",D16=""),"",B16*D16*(1-$D$2))</f>
        <v/>
      </c>
      <c r="G16" s="34" t="str">
        <f aca="false">IF(OR(B16="",C16=""),"",B16*C16)</f>
        <v/>
      </c>
      <c r="H16" s="35" t="str">
        <f aca="false">IF(OR(F16="",G16=""),"",F16-G16)</f>
        <v/>
      </c>
      <c r="I16" s="36" t="str">
        <f aca="false">IF(OR(H16="",G16="",G16=0),"",H16/G16)</f>
        <v/>
      </c>
      <c r="J16" s="36" t="str">
        <f aca="false">IF(OR(D16="",E16="",E16=0),"",D16/E16-1)</f>
        <v/>
      </c>
      <c r="K16" s="37" t="str">
        <f aca="false">IF(OR(F16="",$F$22=0),"",F16/$F$22)</f>
        <v/>
      </c>
      <c r="L16" s="26" t="str">
        <f aca="false">IF(K16="","",IF(K16&gt;$D$4,"⚠️ تمرکز بالا",""))</f>
        <v/>
      </c>
    </row>
    <row r="17" customFormat="false" ht="15" hidden="false" customHeight="false" outlineLevel="0" collapsed="false">
      <c r="A17" s="21"/>
      <c r="B17" s="32"/>
      <c r="C17" s="32"/>
      <c r="D17" s="32"/>
      <c r="E17" s="32"/>
      <c r="F17" s="34" t="str">
        <f aca="false">IF(OR(B17="",D17=""),"",B17*D17*(1-$D$2))</f>
        <v/>
      </c>
      <c r="G17" s="34" t="str">
        <f aca="false">IF(OR(B17="",C17=""),"",B17*C17)</f>
        <v/>
      </c>
      <c r="H17" s="35" t="str">
        <f aca="false">IF(OR(F17="",G17=""),"",F17-G17)</f>
        <v/>
      </c>
      <c r="I17" s="36" t="str">
        <f aca="false">IF(OR(H17="",G17="",G17=0),"",H17/G17)</f>
        <v/>
      </c>
      <c r="J17" s="36" t="str">
        <f aca="false">IF(OR(D17="",E17="",E17=0),"",D17/E17-1)</f>
        <v/>
      </c>
      <c r="K17" s="37" t="str">
        <f aca="false">IF(OR(F17="",$F$22=0),"",F17/$F$22)</f>
        <v/>
      </c>
      <c r="L17" s="26" t="str">
        <f aca="false">IF(K17="","",IF(K17&gt;$D$4,"⚠️ تمرکز بالا",""))</f>
        <v/>
      </c>
    </row>
    <row r="18" customFormat="false" ht="15" hidden="false" customHeight="false" outlineLevel="0" collapsed="false">
      <c r="A18" s="21"/>
      <c r="B18" s="32"/>
      <c r="C18" s="32"/>
      <c r="D18" s="32"/>
      <c r="E18" s="32"/>
      <c r="F18" s="34" t="str">
        <f aca="false">IF(OR(B18="",D18=""),"",B18*D18*(1-$D$2))</f>
        <v/>
      </c>
      <c r="G18" s="34" t="str">
        <f aca="false">IF(OR(B18="",C18=""),"",B18*C18)</f>
        <v/>
      </c>
      <c r="H18" s="35" t="str">
        <f aca="false">IF(OR(F18="",G18=""),"",F18-G18)</f>
        <v/>
      </c>
      <c r="I18" s="36" t="str">
        <f aca="false">IF(OR(H18="",G18="",G18=0),"",H18/G18)</f>
        <v/>
      </c>
      <c r="J18" s="36" t="str">
        <f aca="false">IF(OR(D18="",E18="",E18=0),"",D18/E18-1)</f>
        <v/>
      </c>
      <c r="K18" s="37" t="str">
        <f aca="false">IF(OR(F18="",$F$22=0),"",F18/$F$22)</f>
        <v/>
      </c>
      <c r="L18" s="26" t="str">
        <f aca="false">IF(K18="","",IF(K18&gt;$D$4,"⚠️ تمرکز بالا",""))</f>
        <v/>
      </c>
    </row>
    <row r="19" customFormat="false" ht="15" hidden="false" customHeight="false" outlineLevel="0" collapsed="false">
      <c r="A19" s="21"/>
      <c r="B19" s="32"/>
      <c r="C19" s="32"/>
      <c r="D19" s="32"/>
      <c r="E19" s="32"/>
      <c r="F19" s="34" t="str">
        <f aca="false">IF(OR(B19="",D19=""),"",B19*D19*(1-$D$2))</f>
        <v/>
      </c>
      <c r="G19" s="34" t="str">
        <f aca="false">IF(OR(B19="",C19=""),"",B19*C19)</f>
        <v/>
      </c>
      <c r="H19" s="35" t="str">
        <f aca="false">IF(OR(F19="",G19=""),"",F19-G19)</f>
        <v/>
      </c>
      <c r="I19" s="36" t="str">
        <f aca="false">IF(OR(H19="",G19="",G19=0),"",H19/G19)</f>
        <v/>
      </c>
      <c r="J19" s="36" t="str">
        <f aca="false">IF(OR(D19="",E19="",E19=0),"",D19/E19-1)</f>
        <v/>
      </c>
      <c r="K19" s="37" t="str">
        <f aca="false">IF(OR(F19="",$F$22=0),"",F19/$F$22)</f>
        <v/>
      </c>
      <c r="L19" s="26" t="str">
        <f aca="false">IF(K19="","",IF(K19&gt;$D$4,"⚠️ تمرکز بالا",""))</f>
        <v/>
      </c>
    </row>
    <row r="20" customFormat="false" ht="15" hidden="false" customHeight="false" outlineLevel="0" collapsed="false">
      <c r="A20" s="21"/>
      <c r="B20" s="32"/>
      <c r="C20" s="32"/>
      <c r="D20" s="32"/>
      <c r="E20" s="32"/>
      <c r="F20" s="34" t="str">
        <f aca="false">IF(OR(B20="",D20=""),"",B20*D20*(1-$D$2))</f>
        <v/>
      </c>
      <c r="G20" s="34" t="str">
        <f aca="false">IF(OR(B20="",C20=""),"",B20*C20)</f>
        <v/>
      </c>
      <c r="H20" s="35" t="str">
        <f aca="false">IF(OR(F20="",G20=""),"",F20-G20)</f>
        <v/>
      </c>
      <c r="I20" s="36" t="str">
        <f aca="false">IF(OR(H20="",G20="",G20=0),"",H20/G20)</f>
        <v/>
      </c>
      <c r="J20" s="36" t="str">
        <f aca="false">IF(OR(D20="",E20="",E20=0),"",D20/E20-1)</f>
        <v/>
      </c>
      <c r="K20" s="37" t="str">
        <f aca="false">IF(OR(F20="",$F$22=0),"",F20/$F$22)</f>
        <v/>
      </c>
      <c r="L20" s="26" t="str">
        <f aca="false">IF(K20="","",IF(K20&gt;$D$4,"⚠️ تمرکز بالا",""))</f>
        <v/>
      </c>
    </row>
    <row r="22" customFormat="false" ht="15" hidden="false" customHeight="false" outlineLevel="0" collapsed="false">
      <c r="A22" s="17" t="s">
        <v>100</v>
      </c>
      <c r="F22" s="38" t="n">
        <f aca="false">SUM(F6:F20)</f>
        <v>40639200</v>
      </c>
      <c r="G22" s="38" t="n">
        <f aca="false">SUM(G6:G20)</f>
        <v>38500000</v>
      </c>
      <c r="H22" s="39" t="n">
        <f aca="false">SUM(H6:H20)</f>
        <v>2139200</v>
      </c>
      <c r="I22" s="40" t="n">
        <f aca="false">IF(G22=0,"",H22/G22)</f>
        <v>0.0555636363636364</v>
      </c>
    </row>
    <row r="23" customFormat="false" ht="15" hidden="false" customHeight="false" outlineLevel="0" collapsed="false">
      <c r="A23" s="41" t="s">
        <v>101</v>
      </c>
      <c r="B23" s="41"/>
      <c r="C23" s="41"/>
      <c r="D23" s="41"/>
      <c r="E23" s="41"/>
      <c r="F23" s="38" t="n">
        <f aca="false">F22+D3</f>
        <v>60538609</v>
      </c>
    </row>
    <row r="24" customFormat="false" ht="15" hidden="false" customHeight="false" outlineLevel="0" collapsed="false">
      <c r="A24" s="41" t="s">
        <v>102</v>
      </c>
      <c r="B24" s="41"/>
      <c r="C24" s="41"/>
      <c r="D24" s="41"/>
      <c r="E24" s="41"/>
      <c r="F24" s="42" t="n">
        <f aca="false">IF(COUNT(K6:K20)=0,"",MAX(K6:K20))</f>
        <v>0.439024390243902</v>
      </c>
    </row>
    <row r="26" customFormat="false" ht="11.9" hidden="false" customHeight="false" outlineLevel="0" collapsed="false">
      <c r="A26" s="31" t="s">
        <v>103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</sheetData>
  <mergeCells count="10">
    <mergeCell ref="A1:L1"/>
    <mergeCell ref="A2:C2"/>
    <mergeCell ref="E2:L2"/>
    <mergeCell ref="A3:C3"/>
    <mergeCell ref="E3:L3"/>
    <mergeCell ref="A4:C4"/>
    <mergeCell ref="E4:L4"/>
    <mergeCell ref="A23:E23"/>
    <mergeCell ref="A24:E24"/>
    <mergeCell ref="A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2026-10-07T19:16:58Z</dcterms:created>
  <dc:creator>openpyxl</dc:creator>
  <dc:description/>
  <dc:language>en-US</dc:language>
  <cp:lastModifiedBy/>
  <dcterms:modified xsi:type="dcterms:W3CDTF">2026-10-07T19:16:58Z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